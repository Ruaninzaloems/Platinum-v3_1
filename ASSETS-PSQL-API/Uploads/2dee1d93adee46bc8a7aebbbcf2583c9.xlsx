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nzaloems\Documents\Assets\NewDev\SampleData\"/>
    </mc:Choice>
  </mc:AlternateContent>
  <xr:revisionPtr revIDLastSave="0" documentId="13_ncr:1_{57A8ACBA-2D77-413C-8021-3511609AC34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oads Infrastructur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<sst xmlns="http://schemas.openxmlformats.org/spreadsheetml/2006/main" count="1286" uniqueCount="320">
  <si>
    <t>Component ID/Asset Register ID</t>
  </si>
  <si>
    <t>ParentAssetRegisterID</t>
  </si>
  <si>
    <t>AssetDescription</t>
  </si>
  <si>
    <t>Municipal Asset ID</t>
  </si>
  <si>
    <t>Main Asset ID</t>
  </si>
  <si>
    <t>Main Asset Description</t>
  </si>
  <si>
    <t>Old Barcode</t>
  </si>
  <si>
    <t>Barcode</t>
  </si>
  <si>
    <t>Image Ref</t>
  </si>
  <si>
    <t>Asset Type</t>
  </si>
  <si>
    <t>Asset Category</t>
  </si>
  <si>
    <t>Asset Sub-Category</t>
  </si>
  <si>
    <t>Asset Class</t>
  </si>
  <si>
    <t>CIDMS Sub Component Type</t>
  </si>
  <si>
    <t>CIDMS Component Type</t>
  </si>
  <si>
    <t>CIDMS Accounting Group</t>
  </si>
  <si>
    <t>CIDMS Sub Accounting Group</t>
  </si>
  <si>
    <t>CIDMS Asset Class</t>
  </si>
  <si>
    <t>CIDMS Asset Group Type</t>
  </si>
  <si>
    <t>CIDMS Asset Type</t>
  </si>
  <si>
    <t>Cash Or Non-Cash generating unit</t>
  </si>
  <si>
    <t>Measurement Type</t>
  </si>
  <si>
    <t>Asset Status</t>
  </si>
  <si>
    <t>Financial Status</t>
  </si>
  <si>
    <t>Acquisition Date</t>
  </si>
  <si>
    <t>Commisioning Date</t>
  </si>
  <si>
    <t>Infrastructur or Non-Infrastructure</t>
  </si>
  <si>
    <t>Nature of addition</t>
  </si>
  <si>
    <t>Cost of Addition</t>
  </si>
  <si>
    <t>In Service Date</t>
  </si>
  <si>
    <t>Disposal Date</t>
  </si>
  <si>
    <t>Reason for Disposal</t>
  </si>
  <si>
    <t>Impairment Date</t>
  </si>
  <si>
    <t>Date Modified</t>
  </si>
  <si>
    <t>Verified Date</t>
  </si>
  <si>
    <t>Verification Done By</t>
  </si>
  <si>
    <t>Year Constructed</t>
  </si>
  <si>
    <t>Forecast Replacement Year</t>
  </si>
  <si>
    <t>Asset Condition</t>
  </si>
  <si>
    <t>Insurance Cover</t>
  </si>
  <si>
    <t>Insurance Policy No</t>
  </si>
  <si>
    <t>Warranty</t>
  </si>
  <si>
    <t>Depreciated Replacement Cost DRC</t>
  </si>
  <si>
    <t>Annualised Maintenance Percentage CRC</t>
  </si>
  <si>
    <t>Annual Maintenance Budget Forecast Amount</t>
  </si>
  <si>
    <t>Useful Life Month Component</t>
  </si>
  <si>
    <t>Useful Life Year Component</t>
  </si>
  <si>
    <t>Remaining Useful Life Year Component</t>
  </si>
  <si>
    <t>Remaining Useful Life Month Component</t>
  </si>
  <si>
    <t>Remaining Useful Life At Take On</t>
  </si>
  <si>
    <t>Construction Material</t>
  </si>
  <si>
    <t>UoM</t>
  </si>
  <si>
    <t>Dim1</t>
  </si>
  <si>
    <t>Dim2</t>
  </si>
  <si>
    <t>Dim3</t>
  </si>
  <si>
    <t>Dimension Quantity</t>
  </si>
  <si>
    <t>Quantity</t>
  </si>
  <si>
    <t xml:space="preserve">Diameter </t>
  </si>
  <si>
    <t>Capacity</t>
  </si>
  <si>
    <t>SG Key</t>
  </si>
  <si>
    <t>Deed Number</t>
  </si>
  <si>
    <t>Erf/ Farm Number</t>
  </si>
  <si>
    <t>Portion Number</t>
  </si>
  <si>
    <t>Erf size M2</t>
  </si>
  <si>
    <t>Make</t>
  </si>
  <si>
    <t>Model</t>
  </si>
  <si>
    <t>Unit Number</t>
  </si>
  <si>
    <t>Registration Number</t>
  </si>
  <si>
    <t>Serial Number</t>
  </si>
  <si>
    <t>Custodian Name</t>
  </si>
  <si>
    <t>Custodian ID Number</t>
  </si>
  <si>
    <t>Basic Municipality Service</t>
  </si>
  <si>
    <t>Criticality Grade</t>
  </si>
  <si>
    <t>Performance Grade</t>
  </si>
  <si>
    <t>Utilisation Grade</t>
  </si>
  <si>
    <t>Infrastructure Health Grade</t>
  </si>
  <si>
    <t>Consequence Of Failure</t>
  </si>
  <si>
    <t>Risk</t>
  </si>
  <si>
    <t>Asset Ownership</t>
  </si>
  <si>
    <t>Municipal Department</t>
  </si>
  <si>
    <t>Division</t>
  </si>
  <si>
    <t>Town</t>
  </si>
  <si>
    <t>Street Address</t>
  </si>
  <si>
    <t>Building</t>
  </si>
  <si>
    <t>Ward</t>
  </si>
  <si>
    <t>Zoning</t>
  </si>
  <si>
    <t>Floor Description</t>
  </si>
  <si>
    <t>Room Number</t>
  </si>
  <si>
    <t>Well Known Text WKT</t>
  </si>
  <si>
    <t>Suburb</t>
  </si>
  <si>
    <t>GIS Feauture ID</t>
  </si>
  <si>
    <t>Latitude</t>
  </si>
  <si>
    <t>Longitude</t>
  </si>
  <si>
    <t>Funding Source Number</t>
  </si>
  <si>
    <t>Funding Source Amount</t>
  </si>
  <si>
    <t>Funding Source</t>
  </si>
  <si>
    <t>Funding type</t>
  </si>
  <si>
    <t>Purchase Amount Or Cost</t>
  </si>
  <si>
    <t>SCOA Item - Purchase Amount Or Cost</t>
  </si>
  <si>
    <t>Residual Value</t>
  </si>
  <si>
    <t>Accumulated Depreciation</t>
  </si>
  <si>
    <t>SCOA Item -Accumulated Depreciation</t>
  </si>
  <si>
    <t>Accumulated Impairment</t>
  </si>
  <si>
    <t>SCOA Item - Accumulated Impairment</t>
  </si>
  <si>
    <t>Reversal of Impairment Loss</t>
  </si>
  <si>
    <t>Fair Value Adjustment</t>
  </si>
  <si>
    <t>Revaluation Reserve</t>
  </si>
  <si>
    <t>Disposal Value</t>
  </si>
  <si>
    <t>SCOA Item - Disposal Amount Cost</t>
  </si>
  <si>
    <t>Disposal Proceeds</t>
  </si>
  <si>
    <t>Profit or Loss on Disposal</t>
  </si>
  <si>
    <t>Carrying Amount</t>
  </si>
  <si>
    <t>Donor ID / Registration Number / Parastatal Code</t>
  </si>
  <si>
    <t>Donor Name / Company Name / Parastatal Name</t>
  </si>
  <si>
    <t>Date Donated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</si>
  <si>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</si>
  <si>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</si>
  <si>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</si>
  <si>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</si>
  <si>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</si>
  <si>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</si>
  <si>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</si>
  <si>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</si>
  <si>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</si>
  <si>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RevaluationOpeningBalance</t>
  </si>
  <si>
    <t>RevaluationDate</t>
  </si>
  <si>
    <t>MovementInRevaluationReserve</t>
  </si>
  <si>
    <t>RevaluationValue</t>
  </si>
  <si>
    <t>RevaluationReserveClosingBalance</t>
  </si>
  <si>
    <t>DepreciationOffset</t>
  </si>
  <si>
    <t>DeemedCost</t>
  </si>
  <si>
    <t>1</t>
  </si>
  <si>
    <t>RD00001</t>
  </si>
  <si>
    <t>Unpaved Road</t>
  </si>
  <si>
    <t>Property, Plant and Equipment</t>
  </si>
  <si>
    <t>Roads Infrastructure</t>
  </si>
  <si>
    <t>Roads</t>
  </si>
  <si>
    <t>Property, plant and equipment</t>
  </si>
  <si>
    <t>Infrastructure assets</t>
  </si>
  <si>
    <t>Roads infrastructure</t>
  </si>
  <si>
    <t>Pavements</t>
  </si>
  <si>
    <t>Non</t>
  </si>
  <si>
    <t>Revaluation Module</t>
  </si>
  <si>
    <t>EAR (Existing Asset Register)</t>
  </si>
  <si>
    <t>01-Jul-2023</t>
  </si>
  <si>
    <t>Infrastructure</t>
  </si>
  <si>
    <t>New</t>
  </si>
  <si>
    <t>Poor</t>
  </si>
  <si>
    <t>No</t>
  </si>
  <si>
    <t>0</t>
  </si>
  <si>
    <t>120</t>
  </si>
  <si>
    <t>10</t>
  </si>
  <si>
    <t>2</t>
  </si>
  <si>
    <t>24</t>
  </si>
  <si>
    <t>Square Meter</t>
  </si>
  <si>
    <t xml:space="preserve"> Zanele Nontando Mbusi </t>
  </si>
  <si>
    <t>8309101040084</t>
  </si>
  <si>
    <t>Yes</t>
  </si>
  <si>
    <t>Important</t>
  </si>
  <si>
    <t>Meets requirements</t>
  </si>
  <si>
    <t>Normal use</t>
  </si>
  <si>
    <t>Moderate</t>
  </si>
  <si>
    <t>Medium</t>
  </si>
  <si>
    <t>Infrastructural Planning &amp; Development</t>
  </si>
  <si>
    <t>Butterworth</t>
  </si>
  <si>
    <t>-32.07532826</t>
  </si>
  <si>
    <t>27.98764602</t>
  </si>
  <si>
    <t>148847.28</t>
  </si>
  <si>
    <t>103449.37</t>
  </si>
  <si>
    <t>45397.91</t>
  </si>
  <si>
    <t>2619.07</t>
  </si>
  <si>
    <t>38258.09</t>
  </si>
  <si>
    <t>873.02</t>
  </si>
  <si>
    <t>yes</t>
  </si>
  <si>
    <t>RD00004</t>
  </si>
  <si>
    <t>Fair</t>
  </si>
  <si>
    <t>-32.46994103</t>
  </si>
  <si>
    <t>28.33757047</t>
  </si>
  <si>
    <t>186319.31</t>
  </si>
  <si>
    <t>92203.19</t>
  </si>
  <si>
    <t>94116.12</t>
  </si>
  <si>
    <t>20613.33</t>
  </si>
  <si>
    <t>72200.92</t>
  </si>
  <si>
    <t>6871.11</t>
  </si>
  <si>
    <t>3</t>
  </si>
  <si>
    <t>Walkway</t>
  </si>
  <si>
    <t>Road furniture</t>
  </si>
  <si>
    <t>240</t>
  </si>
  <si>
    <t>20</t>
  </si>
  <si>
    <t>16.99452055</t>
  </si>
  <si>
    <t>203.9342466</t>
  </si>
  <si>
    <t>-32.47107022</t>
  </si>
  <si>
    <t>28.33539912</t>
  </si>
  <si>
    <t>51800.09</t>
  </si>
  <si>
    <t>36001.24</t>
  </si>
  <si>
    <t>15798.85</t>
  </si>
  <si>
    <t>4</t>
  </si>
  <si>
    <t>RD00011</t>
  </si>
  <si>
    <t>Road Vchannel</t>
  </si>
  <si>
    <t>V-Channel</t>
  </si>
  <si>
    <t>Channel</t>
  </si>
  <si>
    <t>Drainage</t>
  </si>
  <si>
    <t>-32.46876915</t>
  </si>
  <si>
    <t>28.3445178</t>
  </si>
  <si>
    <t>40027.33</t>
  </si>
  <si>
    <t>27819.13</t>
  </si>
  <si>
    <t>12208.2</t>
  </si>
  <si>
    <t>5</t>
  </si>
  <si>
    <t>Guard Rail</t>
  </si>
  <si>
    <t>Guard rail</t>
  </si>
  <si>
    <t>Good</t>
  </si>
  <si>
    <t>360</t>
  </si>
  <si>
    <t>30</t>
  </si>
  <si>
    <t>26.97534247</t>
  </si>
  <si>
    <t>323.7041096</t>
  </si>
  <si>
    <t>Each</t>
  </si>
  <si>
    <t>-32.47039798</t>
  </si>
  <si>
    <t>28.33569897</t>
  </si>
  <si>
    <t>19894.52</t>
  </si>
  <si>
    <t>5868.95</t>
  </si>
  <si>
    <t>14025.57</t>
  </si>
  <si>
    <t>6</t>
  </si>
  <si>
    <t>Stormwater Pipe Culvert</t>
  </si>
  <si>
    <t>Culvert Pipe</t>
  </si>
  <si>
    <t>Culvert</t>
  </si>
  <si>
    <t>26.99178082</t>
  </si>
  <si>
    <t>323.9013699</t>
  </si>
  <si>
    <t>Meter</t>
  </si>
  <si>
    <t>-32.47058331</t>
  </si>
  <si>
    <t>28.33564874</t>
  </si>
  <si>
    <t>40889.3</t>
  </si>
  <si>
    <t>12062.48</t>
  </si>
  <si>
    <t>28826.82</t>
  </si>
  <si>
    <t>7</t>
  </si>
  <si>
    <t>RD00005</t>
  </si>
  <si>
    <t>-32.46716614</t>
  </si>
  <si>
    <t>28.34021643</t>
  </si>
  <si>
    <t>740072.8</t>
  </si>
  <si>
    <t>366237.26</t>
  </si>
  <si>
    <t>373835.54</t>
  </si>
  <si>
    <t>8</t>
  </si>
  <si>
    <t>Sign Regulatory</t>
  </si>
  <si>
    <t>Sign - Regulatory</t>
  </si>
  <si>
    <t>Sign - regulatory</t>
  </si>
  <si>
    <t>180</t>
  </si>
  <si>
    <t>15</t>
  </si>
  <si>
    <t>11.96712329</t>
  </si>
  <si>
    <t>143.6054795</t>
  </si>
  <si>
    <t>-32.46876185</t>
  </si>
  <si>
    <t>28.33778888</t>
  </si>
  <si>
    <t>4450.5</t>
  </si>
  <si>
    <t>2202.81</t>
  </si>
  <si>
    <t>2247.69</t>
  </si>
  <si>
    <t>9</t>
  </si>
  <si>
    <t>-32.46870966</t>
  </si>
  <si>
    <t>28.3378421</t>
  </si>
  <si>
    <t>65422.89</t>
  </si>
  <si>
    <t>32381.57</t>
  </si>
  <si>
    <t>33041.32</t>
  </si>
  <si>
    <t>-32.46656613</t>
  </si>
  <si>
    <t>28.34085491</t>
  </si>
  <si>
    <t>11</t>
  </si>
  <si>
    <t>RD00006</t>
  </si>
  <si>
    <t>-32.46953893</t>
  </si>
  <si>
    <t>28.34595606</t>
  </si>
  <si>
    <t>486095.63</t>
  </si>
  <si>
    <t>240552.46</t>
  </si>
  <si>
    <t>245543.17</t>
  </si>
  <si>
    <t>12</t>
  </si>
  <si>
    <t>Impaired Asset</t>
  </si>
  <si>
    <t>Very Poor</t>
  </si>
  <si>
    <t>-32.46913</t>
  </si>
  <si>
    <t>28.34361884</t>
  </si>
  <si>
    <t>4450.46</t>
  </si>
  <si>
    <t>3983.38</t>
  </si>
  <si>
    <t>467.08</t>
  </si>
  <si>
    <t>13</t>
  </si>
  <si>
    <t>-32.46947985</t>
  </si>
  <si>
    <t>28.34573055</t>
  </si>
  <si>
    <t>14</t>
  </si>
  <si>
    <t>-32.4695163</t>
  </si>
  <si>
    <t>28.34580446</t>
  </si>
  <si>
    <t>RD00009</t>
  </si>
  <si>
    <t>-32.46270368</t>
  </si>
  <si>
    <t>28.3541791</t>
  </si>
  <si>
    <t>533976.57</t>
  </si>
  <si>
    <t>264247.13</t>
  </si>
  <si>
    <t>269729.44</t>
  </si>
  <si>
    <t>16</t>
  </si>
  <si>
    <t>-32.46232901</t>
  </si>
  <si>
    <t>28.35493108</t>
  </si>
  <si>
    <t>17</t>
  </si>
  <si>
    <t>RD00010</t>
  </si>
  <si>
    <t>-32.46471568</t>
  </si>
  <si>
    <t>28.34999434</t>
  </si>
  <si>
    <t>418437.78</t>
  </si>
  <si>
    <t>207070.85</t>
  </si>
  <si>
    <t>211366.93</t>
  </si>
  <si>
    <t>18</t>
  </si>
  <si>
    <t>-32.464948</t>
  </si>
  <si>
    <t>28.34941987</t>
  </si>
  <si>
    <t>19</t>
  </si>
  <si>
    <t>-32.46542255</t>
  </si>
  <si>
    <t>28.34867659</t>
  </si>
  <si>
    <t>163557.21</t>
  </si>
  <si>
    <t>48249.94</t>
  </si>
  <si>
    <t>115307.27</t>
  </si>
  <si>
    <t>-32.46822737</t>
  </si>
  <si>
    <t>28.34653496</t>
  </si>
  <si>
    <t>629738.45</t>
  </si>
  <si>
    <t>311636.48</t>
  </si>
  <si>
    <t>318101.97</t>
  </si>
  <si>
    <t>RevaluationImpairmentOpeningBalance</t>
  </si>
  <si>
    <t>TransferFromAmount</t>
  </si>
  <si>
    <t>TransferToAmount</t>
  </si>
  <si>
    <t>DebitPlanProjectItemID</t>
  </si>
  <si>
    <t>30-Jun-2025</t>
  </si>
  <si>
    <t>Current Replacement Cost CRC</t>
  </si>
  <si>
    <t>Owned</t>
  </si>
  <si>
    <t>Public Works Roads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</si>
</sst>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1"/>
  <sheetViews>
    <sheetView tabSelected="1" workbookViewId="0">
      <selection activeCell="D7" sqref="D7"/>
    </sheetView>
  </sheetViews>
  <sheetFormatPr defaultRowHeight="14.4" x14ac:dyDescent="0.3"/>
  <cols>
    <col min="1" max="1" width="28.5546875" bestFit="1" customWidth="1"/>
    <col min="2" max="2" width="20" bestFit="1" customWidth="1"/>
    <col min="3" max="3" width="21.88671875" bestFit="1" customWidth="1"/>
    <col min="4" max="4" width="17.109375" style="2" bestFit="1" customWidth="1"/>
    <col min="5" max="5" width="12.44140625" bestFit="1" customWidth="1"/>
    <col min="6" max="6" width="21.88671875" bestFit="1" customWidth="1"/>
    <col min="7" max="7" width="11.5546875" bestFit="1" customWidth="1"/>
    <col min="8" max="8" width="8" bestFit="1" customWidth="1"/>
    <col min="9" max="9" width="9.33203125" bestFit="1" customWidth="1"/>
    <col min="10" max="10" width="27.44140625" bestFit="1" customWidth="1"/>
    <col min="11" max="11" width="18.77734375" bestFit="1" customWidth="1"/>
    <col min="12" max="12" width="17.88671875" bestFit="1" customWidth="1"/>
    <col min="13" max="13" width="15.44140625" bestFit="1" customWidth="1"/>
    <col min="14" max="14" width="26" bestFit="1" customWidth="1"/>
    <col min="15" max="15" width="22.109375" bestFit="1" customWidth="1"/>
    <col min="16" max="16" width="27.33203125" bestFit="1" customWidth="1"/>
    <col min="17" max="17" width="26.88671875" bestFit="1" customWidth="1"/>
    <col min="18" max="18" width="18.77734375" bestFit="1" customWidth="1"/>
    <col min="19" max="19" width="22.33203125" bestFit="1" customWidth="1"/>
    <col min="20" max="20" width="16.21875" bestFit="1" customWidth="1"/>
    <col min="21" max="21" width="31.21875" bestFit="1" customWidth="1"/>
    <col min="22" max="22" width="18.21875" bestFit="1" customWidth="1"/>
    <col min="23" max="23" width="11.33203125" bestFit="1" customWidth="1"/>
    <col min="24" max="24" width="25.5546875" bestFit="1" customWidth="1"/>
    <col min="25" max="25" width="15.109375" bestFit="1" customWidth="1"/>
    <col min="26" max="26" width="18.33203125" bestFit="1" customWidth="1"/>
    <col min="27" max="27" width="31" bestFit="1" customWidth="1"/>
    <col min="28" max="28" width="16.77734375" bestFit="1" customWidth="1"/>
    <col min="29" max="29" width="14.88671875" bestFit="1" customWidth="1"/>
    <col min="30" max="30" width="13.5546875" bestFit="1" customWidth="1"/>
    <col min="31" max="31" width="13" bestFit="1" customWidth="1"/>
    <col min="32" max="32" width="18.44140625" bestFit="1" customWidth="1"/>
    <col min="33" max="33" width="15.44140625" bestFit="1" customWidth="1"/>
    <col min="34" max="34" width="12.88671875" bestFit="1" customWidth="1"/>
    <col min="35" max="35" width="11.77734375" bestFit="1" customWidth="1"/>
    <col min="36" max="36" width="18.33203125" bestFit="1" customWidth="1"/>
    <col min="37" max="37" width="15.77734375" bestFit="1" customWidth="1"/>
    <col min="38" max="38" width="24.44140625" bestFit="1" customWidth="1"/>
    <col min="39" max="39" width="14.6640625" bestFit="1" customWidth="1"/>
    <col min="40" max="40" width="15.109375" bestFit="1" customWidth="1"/>
    <col min="41" max="41" width="18.33203125" bestFit="1" customWidth="1"/>
    <col min="42" max="42" width="8.77734375" bestFit="1" customWidth="1"/>
    <col min="43" max="43" width="28.44140625" bestFit="1" customWidth="1"/>
    <col min="44" max="44" width="32.109375" bestFit="1" customWidth="1"/>
    <col min="45" max="45" width="37.33203125" bestFit="1" customWidth="1"/>
    <col min="46" max="46" width="40.6640625" bestFit="1" customWidth="1"/>
    <col min="47" max="47" width="26.77734375" bestFit="1" customWidth="1"/>
    <col min="48" max="48" width="25.109375" bestFit="1" customWidth="1"/>
    <col min="49" max="49" width="35" bestFit="1" customWidth="1"/>
    <col min="50" max="50" width="36.6640625" bestFit="1" customWidth="1"/>
    <col min="51" max="51" width="29.5546875" bestFit="1" customWidth="1"/>
    <col min="52" max="52" width="20" bestFit="1" customWidth="1"/>
    <col min="53" max="53" width="12.21875" bestFit="1" customWidth="1"/>
    <col min="54" max="56" width="5.44140625" bestFit="1" customWidth="1"/>
    <col min="57" max="57" width="18.21875" bestFit="1" customWidth="1"/>
    <col min="58" max="58" width="8.21875" bestFit="1" customWidth="1"/>
    <col min="59" max="59" width="9.109375" bestFit="1" customWidth="1"/>
    <col min="60" max="60" width="8.5546875" bestFit="1" customWidth="1"/>
    <col min="61" max="61" width="6.77734375" bestFit="1" customWidth="1"/>
    <col min="62" max="62" width="12.77734375" bestFit="1" customWidth="1"/>
    <col min="63" max="63" width="16.33203125" bestFit="1" customWidth="1"/>
    <col min="64" max="64" width="14.6640625" bestFit="1" customWidth="1"/>
    <col min="65" max="65" width="10" bestFit="1" customWidth="1"/>
    <col min="66" max="66" width="5.5546875" bestFit="1" customWidth="1"/>
    <col min="67" max="67" width="6.21875" bestFit="1" customWidth="1"/>
    <col min="68" max="68" width="11.77734375" bestFit="1" customWidth="1"/>
    <col min="69" max="69" width="18.88671875" bestFit="1" customWidth="1"/>
    <col min="70" max="70" width="13.44140625" bestFit="1" customWidth="1"/>
    <col min="71" max="71" width="22.6640625" bestFit="1" customWidth="1"/>
    <col min="72" max="72" width="19.88671875" bestFit="1" customWidth="1"/>
    <col min="73" max="73" width="23.5546875" bestFit="1" customWidth="1"/>
    <col min="74" max="74" width="15.109375" bestFit="1" customWidth="1"/>
    <col min="75" max="75" width="18" bestFit="1" customWidth="1"/>
    <col min="76" max="76" width="15.6640625" bestFit="1" customWidth="1"/>
    <col min="77" max="77" width="25" bestFit="1" customWidth="1"/>
    <col min="78" max="78" width="21.88671875" bestFit="1" customWidth="1"/>
    <col min="79" max="79" width="7.88671875" bestFit="1" customWidth="1"/>
    <col min="80" max="80" width="25.21875" bestFit="1" customWidth="1"/>
    <col min="81" max="81" width="35.44140625" bestFit="1" customWidth="1"/>
    <col min="82" max="82" width="18.44140625" customWidth="1"/>
    <col min="83" max="83" width="10.77734375" bestFit="1" customWidth="1"/>
    <col min="84" max="84" width="13.33203125" bestFit="1" customWidth="1"/>
    <col min="85" max="85" width="8" bestFit="1" customWidth="1"/>
    <col min="86" max="86" width="5.5546875" bestFit="1" customWidth="1"/>
    <col min="87" max="87" width="6.77734375" bestFit="1" customWidth="1"/>
    <col min="88" max="88" width="15.77734375" bestFit="1" customWidth="1"/>
    <col min="89" max="89" width="13.44140625" bestFit="1" customWidth="1"/>
    <col min="90" max="90" width="19.109375" bestFit="1" customWidth="1"/>
    <col min="91" max="91" width="7.21875" bestFit="1" customWidth="1"/>
    <col min="92" max="92" width="14.33203125" bestFit="1" customWidth="1"/>
    <col min="93" max="93" width="12.21875" bestFit="1" customWidth="1"/>
    <col min="94" max="94" width="11.5546875" bestFit="1" customWidth="1"/>
    <col min="95" max="95" width="22.109375" bestFit="1" customWidth="1"/>
    <col min="96" max="96" width="21.77734375" bestFit="1" customWidth="1"/>
    <col min="97" max="97" width="14.44140625" bestFit="1" customWidth="1"/>
    <col min="98" max="98" width="11.77734375" bestFit="1" customWidth="1"/>
    <col min="99" max="99" width="23.44140625" bestFit="1" customWidth="1"/>
    <col min="100" max="100" width="34.5546875" bestFit="1" customWidth="1"/>
    <col min="101" max="101" width="13.88671875" bestFit="1" customWidth="1"/>
    <col min="102" max="102" width="24" bestFit="1" customWidth="1"/>
    <col min="103" max="103" width="34.6640625" bestFit="1" customWidth="1"/>
    <col min="104" max="104" width="23" bestFit="1" customWidth="1"/>
    <col min="105" max="105" width="34.109375" bestFit="1" customWidth="1"/>
    <col min="106" max="106" width="25.6640625" bestFit="1" customWidth="1"/>
    <col min="107" max="107" width="20" bestFit="1" customWidth="1"/>
    <col min="108" max="108" width="18.33203125" bestFit="1" customWidth="1"/>
    <col min="109" max="109" width="14" bestFit="1" customWidth="1"/>
    <col min="110" max="110" width="31.5546875" bestFit="1" customWidth="1"/>
    <col min="111" max="111" width="17.21875" bestFit="1" customWidth="1"/>
    <col min="112" max="112" width="23.33203125" bestFit="1" customWidth="1"/>
    <col min="113" max="113" width="15.5546875" bestFit="1" customWidth="1"/>
    <col min="114" max="114" width="44.109375" bestFit="1" customWidth="1"/>
    <col min="115" max="115" width="44.33203125" bestFit="1" customWidth="1"/>
    <col min="116" max="116" width="12.44140625" bestFit="1" customWidth="1"/>
    <col min="117" max="125" width="9.109375" bestFit="1" customWidth="1"/>
    <col min="126" max="126" width="25.77734375" bestFit="1" customWidth="1"/>
    <col min="127" max="127" width="15.109375" bestFit="1" customWidth="1"/>
    <col min="128" max="128" width="28.5546875" bestFit="1" customWidth="1"/>
    <col min="129" max="129" width="16.109375" bestFit="1" customWidth="1"/>
    <col min="130" max="130" width="31.88671875" bestFit="1" customWidth="1"/>
    <col min="131" max="131" width="17.21875" bestFit="1" customWidth="1"/>
    <col min="132" max="132" width="11.88671875" bestFit="1" customWidth="1"/>
  </cols>
  <sheetData>
    <row r="1" spans="1:136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317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312</v>
      </c>
      <c r="ED1" t="s">
        <v>313</v>
      </c>
      <c r="EE1" t="s">
        <v>314</v>
      </c>
      <c r="EF1" t="s">
        <v>315</v>
      </c>
    </row>
    <row r="2" spans="1:136" x14ac:dyDescent="0.3">
      <c r="A2" s="1" t="s">
        <v>131</v>
      </c>
      <c r="B2" s="1" t="s">
        <v>132</v>
      </c>
      <c r="C2" s="1" t="s">
        <v>133</v>
      </c>
      <c r="D2" s="2" t="str">
        <f>_xlfn.CONCAT(B2,"/",100+A2)</f>
        <v>RD00001/101</v>
      </c>
      <c r="F2" s="1" t="s">
        <v>133</v>
      </c>
      <c r="J2" s="1" t="s">
        <v>134</v>
      </c>
      <c r="K2" s="1" t="s">
        <v>135</v>
      </c>
      <c r="L2" s="1" t="s">
        <v>136</v>
      </c>
      <c r="M2" s="1" t="s">
        <v>133</v>
      </c>
      <c r="N2" s="1" t="s">
        <v>133</v>
      </c>
      <c r="O2" s="1" t="s">
        <v>133</v>
      </c>
      <c r="P2" s="1" t="s">
        <v>137</v>
      </c>
      <c r="Q2" s="1" t="s">
        <v>138</v>
      </c>
      <c r="R2" s="1" t="s">
        <v>139</v>
      </c>
      <c r="S2" s="1" t="s">
        <v>136</v>
      </c>
      <c r="T2" s="1" t="s">
        <v>140</v>
      </c>
      <c r="U2" s="1" t="s">
        <v>141</v>
      </c>
      <c r="V2" s="1" t="s">
        <v>142</v>
      </c>
      <c r="X2" s="1" t="s">
        <v>143</v>
      </c>
      <c r="Y2" s="1" t="s">
        <v>144</v>
      </c>
      <c r="Z2" s="1" t="s">
        <v>144</v>
      </c>
      <c r="AA2" s="1" t="s">
        <v>145</v>
      </c>
      <c r="AB2" s="1" t="s">
        <v>146</v>
      </c>
      <c r="AD2" s="1" t="s">
        <v>316</v>
      </c>
      <c r="AM2" s="1" t="s">
        <v>147</v>
      </c>
      <c r="AN2" s="1" t="s">
        <v>148</v>
      </c>
      <c r="AP2" s="1" t="s">
        <v>148</v>
      </c>
      <c r="AQ2" s="1" t="s">
        <v>167</v>
      </c>
      <c r="AR2" s="1" t="s">
        <v>149</v>
      </c>
      <c r="AS2" s="1" t="s">
        <v>149</v>
      </c>
      <c r="AT2" s="1" t="s">
        <v>149</v>
      </c>
      <c r="AU2" s="1" t="s">
        <v>150</v>
      </c>
      <c r="AV2" s="1" t="s">
        <v>151</v>
      </c>
      <c r="AW2" s="1" t="s">
        <v>152</v>
      </c>
      <c r="AX2" s="1" t="s">
        <v>153</v>
      </c>
      <c r="BA2" s="1" t="s">
        <v>154</v>
      </c>
      <c r="BF2" s="1" t="s">
        <v>131</v>
      </c>
      <c r="BS2" s="1" t="s">
        <v>155</v>
      </c>
      <c r="BT2" s="1" t="s">
        <v>156</v>
      </c>
      <c r="BU2" s="1" t="s">
        <v>157</v>
      </c>
      <c r="BV2" s="1" t="s">
        <v>158</v>
      </c>
      <c r="BW2" s="1" t="s">
        <v>159</v>
      </c>
      <c r="BX2" s="1" t="s">
        <v>160</v>
      </c>
      <c r="BY2" s="1" t="s">
        <v>147</v>
      </c>
      <c r="BZ2" s="1" t="s">
        <v>161</v>
      </c>
      <c r="CA2" s="1" t="s">
        <v>162</v>
      </c>
      <c r="CB2" s="1" t="s">
        <v>318</v>
      </c>
      <c r="CC2" s="1" t="s">
        <v>163</v>
      </c>
      <c r="CD2" s="1" t="s">
        <v>319</v>
      </c>
      <c r="CE2" s="1" t="s">
        <v>164</v>
      </c>
      <c r="CO2" s="1" t="s">
        <v>165</v>
      </c>
      <c r="CP2" s="1" t="s">
        <v>166</v>
      </c>
      <c r="CQ2" s="1" t="s">
        <v>149</v>
      </c>
      <c r="CR2" s="1" t="s">
        <v>167</v>
      </c>
      <c r="CU2" s="1" t="s">
        <v>167</v>
      </c>
      <c r="CX2" s="1" t="s">
        <v>168</v>
      </c>
      <c r="CZ2" s="1" t="s">
        <v>149</v>
      </c>
      <c r="DI2" s="1" t="s">
        <v>169</v>
      </c>
      <c r="DV2" s="1" t="s">
        <v>170</v>
      </c>
      <c r="DW2" s="1" t="s">
        <v>144</v>
      </c>
      <c r="DX2" s="1" t="s">
        <v>171</v>
      </c>
      <c r="EA2" s="1" t="s">
        <v>172</v>
      </c>
      <c r="EB2" s="1" t="s">
        <v>173</v>
      </c>
    </row>
    <row r="3" spans="1:136" x14ac:dyDescent="0.3">
      <c r="A3" s="1" t="s">
        <v>152</v>
      </c>
      <c r="B3" s="1" t="s">
        <v>174</v>
      </c>
      <c r="C3" s="1" t="s">
        <v>133</v>
      </c>
      <c r="D3" s="2" t="str">
        <f t="shared" ref="D3:D21" si="0">_xlfn.CONCAT(B3,"/",100+A3)</f>
        <v>RD00004/102</v>
      </c>
      <c r="F3" s="1" t="s">
        <v>133</v>
      </c>
      <c r="J3" s="1" t="s">
        <v>134</v>
      </c>
      <c r="K3" s="1" t="s">
        <v>135</v>
      </c>
      <c r="L3" s="1" t="s">
        <v>136</v>
      </c>
      <c r="M3" s="1" t="s">
        <v>133</v>
      </c>
      <c r="N3" s="1" t="s">
        <v>133</v>
      </c>
      <c r="O3" s="1" t="s">
        <v>133</v>
      </c>
      <c r="P3" s="1" t="s">
        <v>137</v>
      </c>
      <c r="Q3" s="1" t="s">
        <v>138</v>
      </c>
      <c r="R3" s="1" t="s">
        <v>139</v>
      </c>
      <c r="S3" s="1" t="s">
        <v>136</v>
      </c>
      <c r="T3" s="1" t="s">
        <v>140</v>
      </c>
      <c r="U3" s="1" t="s">
        <v>141</v>
      </c>
      <c r="V3" s="1" t="s">
        <v>142</v>
      </c>
      <c r="X3" s="1" t="s">
        <v>143</v>
      </c>
      <c r="Y3" s="1" t="s">
        <v>144</v>
      </c>
      <c r="Z3" s="1" t="s">
        <v>144</v>
      </c>
      <c r="AA3" s="1" t="s">
        <v>145</v>
      </c>
      <c r="AB3" s="1" t="s">
        <v>146</v>
      </c>
      <c r="AD3" s="1" t="s">
        <v>316</v>
      </c>
      <c r="AM3" s="1" t="s">
        <v>175</v>
      </c>
      <c r="AN3" s="1" t="s">
        <v>148</v>
      </c>
      <c r="AP3" s="1" t="s">
        <v>148</v>
      </c>
      <c r="AQ3" s="1" t="s">
        <v>178</v>
      </c>
      <c r="AR3" s="1" t="s">
        <v>149</v>
      </c>
      <c r="AS3" s="1" t="s">
        <v>149</v>
      </c>
      <c r="AT3" s="1" t="s">
        <v>149</v>
      </c>
      <c r="AU3" s="1" t="s">
        <v>150</v>
      </c>
      <c r="AV3" s="1" t="s">
        <v>151</v>
      </c>
      <c r="AW3" s="1" t="s">
        <v>152</v>
      </c>
      <c r="AX3" s="1" t="s">
        <v>153</v>
      </c>
      <c r="BA3" s="1" t="s">
        <v>154</v>
      </c>
      <c r="BF3" s="1" t="s">
        <v>131</v>
      </c>
      <c r="BS3" s="1" t="s">
        <v>155</v>
      </c>
      <c r="BT3" s="1" t="s">
        <v>156</v>
      </c>
      <c r="BU3" s="1" t="s">
        <v>157</v>
      </c>
      <c r="BV3" s="1" t="s">
        <v>158</v>
      </c>
      <c r="BW3" s="1" t="s">
        <v>159</v>
      </c>
      <c r="BX3" s="1" t="s">
        <v>160</v>
      </c>
      <c r="BY3" s="1" t="s">
        <v>175</v>
      </c>
      <c r="BZ3" s="1" t="s">
        <v>161</v>
      </c>
      <c r="CA3" s="1" t="s">
        <v>162</v>
      </c>
      <c r="CB3" s="1" t="s">
        <v>318</v>
      </c>
      <c r="CC3" s="1" t="s">
        <v>163</v>
      </c>
      <c r="CD3" s="1" t="s">
        <v>319</v>
      </c>
      <c r="CE3" s="1" t="s">
        <v>164</v>
      </c>
      <c r="CO3" s="1" t="s">
        <v>176</v>
      </c>
      <c r="CP3" s="1" t="s">
        <v>177</v>
      </c>
      <c r="CQ3" s="1" t="s">
        <v>149</v>
      </c>
      <c r="CR3" s="1" t="s">
        <v>178</v>
      </c>
      <c r="CU3" s="1" t="s">
        <v>178</v>
      </c>
      <c r="CX3" s="1" t="s">
        <v>179</v>
      </c>
      <c r="CZ3" s="1" t="s">
        <v>149</v>
      </c>
      <c r="DI3" s="1" t="s">
        <v>180</v>
      </c>
      <c r="DV3" s="1" t="s">
        <v>181</v>
      </c>
      <c r="DW3" s="1" t="s">
        <v>144</v>
      </c>
      <c r="DX3" s="1" t="s">
        <v>182</v>
      </c>
      <c r="EA3" s="1" t="s">
        <v>183</v>
      </c>
      <c r="EB3" s="1" t="s">
        <v>173</v>
      </c>
    </row>
    <row r="4" spans="1:136" x14ac:dyDescent="0.3">
      <c r="A4" s="1" t="s">
        <v>184</v>
      </c>
      <c r="B4" s="1" t="s">
        <v>174</v>
      </c>
      <c r="C4" s="1" t="s">
        <v>185</v>
      </c>
      <c r="D4" s="2" t="str">
        <f t="shared" si="0"/>
        <v>RD00004/103</v>
      </c>
      <c r="F4" s="1" t="s">
        <v>185</v>
      </c>
      <c r="J4" s="1" t="s">
        <v>134</v>
      </c>
      <c r="K4" s="1" t="s">
        <v>135</v>
      </c>
      <c r="L4" s="1" t="s">
        <v>136</v>
      </c>
      <c r="M4" s="1" t="s">
        <v>185</v>
      </c>
      <c r="N4" s="1" t="s">
        <v>185</v>
      </c>
      <c r="O4" s="1" t="s">
        <v>185</v>
      </c>
      <c r="P4" s="1" t="s">
        <v>137</v>
      </c>
      <c r="Q4" s="1" t="s">
        <v>138</v>
      </c>
      <c r="R4" s="1" t="s">
        <v>139</v>
      </c>
      <c r="S4" s="1" t="s">
        <v>186</v>
      </c>
      <c r="T4" s="1" t="s">
        <v>186</v>
      </c>
      <c r="U4" s="1" t="s">
        <v>141</v>
      </c>
      <c r="V4" s="1" t="s">
        <v>142</v>
      </c>
      <c r="X4" s="1" t="s">
        <v>143</v>
      </c>
      <c r="Y4" s="1" t="s">
        <v>144</v>
      </c>
      <c r="Z4" s="1" t="s">
        <v>144</v>
      </c>
      <c r="AA4" s="1" t="s">
        <v>145</v>
      </c>
      <c r="AB4" s="1" t="s">
        <v>146</v>
      </c>
      <c r="AD4" s="1" t="s">
        <v>316</v>
      </c>
      <c r="AM4" s="1" t="s">
        <v>147</v>
      </c>
      <c r="AN4" s="1" t="s">
        <v>148</v>
      </c>
      <c r="AP4" s="1" t="s">
        <v>148</v>
      </c>
      <c r="AQ4" s="1" t="s">
        <v>193</v>
      </c>
      <c r="AR4" s="1" t="s">
        <v>149</v>
      </c>
      <c r="AS4" s="1" t="s">
        <v>149</v>
      </c>
      <c r="AT4" s="1" t="s">
        <v>149</v>
      </c>
      <c r="AU4" s="1" t="s">
        <v>187</v>
      </c>
      <c r="AV4" s="1" t="s">
        <v>188</v>
      </c>
      <c r="AW4" s="1" t="s">
        <v>189</v>
      </c>
      <c r="AX4" s="1" t="s">
        <v>190</v>
      </c>
      <c r="BA4" s="1" t="s">
        <v>154</v>
      </c>
      <c r="BF4" s="1" t="s">
        <v>131</v>
      </c>
      <c r="BS4" s="1" t="s">
        <v>155</v>
      </c>
      <c r="BT4" s="1" t="s">
        <v>156</v>
      </c>
      <c r="BU4" s="1" t="s">
        <v>157</v>
      </c>
      <c r="BV4" s="1" t="s">
        <v>158</v>
      </c>
      <c r="BW4" s="1" t="s">
        <v>159</v>
      </c>
      <c r="BX4" s="1" t="s">
        <v>160</v>
      </c>
      <c r="BY4" s="1" t="s">
        <v>147</v>
      </c>
      <c r="BZ4" s="1" t="s">
        <v>161</v>
      </c>
      <c r="CA4" s="1" t="s">
        <v>162</v>
      </c>
      <c r="CB4" s="1" t="s">
        <v>318</v>
      </c>
      <c r="CC4" s="1" t="s">
        <v>163</v>
      </c>
      <c r="CD4" s="1" t="s">
        <v>319</v>
      </c>
      <c r="CE4" s="1" t="s">
        <v>164</v>
      </c>
      <c r="CO4" s="1" t="s">
        <v>191</v>
      </c>
      <c r="CP4" s="1" t="s">
        <v>192</v>
      </c>
      <c r="CQ4" s="1" t="s">
        <v>149</v>
      </c>
      <c r="CR4" s="1" t="s">
        <v>193</v>
      </c>
      <c r="CU4" s="1" t="s">
        <v>193</v>
      </c>
      <c r="CX4" s="1" t="s">
        <v>194</v>
      </c>
      <c r="CZ4" s="1" t="s">
        <v>149</v>
      </c>
      <c r="DI4" s="1" t="s">
        <v>195</v>
      </c>
    </row>
    <row r="5" spans="1:136" x14ac:dyDescent="0.3">
      <c r="A5" s="1" t="s">
        <v>196</v>
      </c>
      <c r="B5" s="1" t="s">
        <v>197</v>
      </c>
      <c r="C5" s="1" t="s">
        <v>198</v>
      </c>
      <c r="D5" s="2" t="str">
        <f t="shared" si="0"/>
        <v>RD00011/104</v>
      </c>
      <c r="F5" s="1" t="s">
        <v>198</v>
      </c>
      <c r="J5" s="1" t="s">
        <v>134</v>
      </c>
      <c r="K5" s="1" t="s">
        <v>135</v>
      </c>
      <c r="L5" s="1" t="s">
        <v>136</v>
      </c>
      <c r="M5" s="1" t="s">
        <v>199</v>
      </c>
      <c r="N5" s="1" t="s">
        <v>199</v>
      </c>
      <c r="O5" s="1" t="s">
        <v>200</v>
      </c>
      <c r="P5" s="1" t="s">
        <v>137</v>
      </c>
      <c r="Q5" s="1" t="s">
        <v>138</v>
      </c>
      <c r="R5" s="1" t="s">
        <v>139</v>
      </c>
      <c r="S5" s="1" t="s">
        <v>136</v>
      </c>
      <c r="T5" s="1" t="s">
        <v>201</v>
      </c>
      <c r="U5" s="1" t="s">
        <v>141</v>
      </c>
      <c r="V5" s="1" t="s">
        <v>142</v>
      </c>
      <c r="X5" s="1" t="s">
        <v>143</v>
      </c>
      <c r="Y5" s="1" t="s">
        <v>144</v>
      </c>
      <c r="Z5" s="1" t="s">
        <v>144</v>
      </c>
      <c r="AA5" s="1" t="s">
        <v>145</v>
      </c>
      <c r="AB5" s="1" t="s">
        <v>146</v>
      </c>
      <c r="AD5" s="1" t="s">
        <v>316</v>
      </c>
      <c r="AM5" s="1" t="s">
        <v>147</v>
      </c>
      <c r="AN5" s="1" t="s">
        <v>148</v>
      </c>
      <c r="AP5" s="1" t="s">
        <v>148</v>
      </c>
      <c r="AQ5" s="1" t="s">
        <v>204</v>
      </c>
      <c r="AR5" s="1" t="s">
        <v>149</v>
      </c>
      <c r="AS5" s="1" t="s">
        <v>149</v>
      </c>
      <c r="AT5" s="1" t="s">
        <v>149</v>
      </c>
      <c r="AU5" s="1" t="s">
        <v>187</v>
      </c>
      <c r="AV5" s="1" t="s">
        <v>188</v>
      </c>
      <c r="AW5" s="1" t="s">
        <v>189</v>
      </c>
      <c r="AX5" s="1" t="s">
        <v>190</v>
      </c>
      <c r="BA5" s="1" t="s">
        <v>154</v>
      </c>
      <c r="BF5" s="1" t="s">
        <v>131</v>
      </c>
      <c r="BS5" s="1" t="s">
        <v>155</v>
      </c>
      <c r="BT5" s="1" t="s">
        <v>156</v>
      </c>
      <c r="BU5" s="1" t="s">
        <v>157</v>
      </c>
      <c r="BV5" s="1" t="s">
        <v>158</v>
      </c>
      <c r="BW5" s="1" t="s">
        <v>159</v>
      </c>
      <c r="BX5" s="1" t="s">
        <v>160</v>
      </c>
      <c r="BY5" s="1" t="s">
        <v>147</v>
      </c>
      <c r="BZ5" s="1" t="s">
        <v>161</v>
      </c>
      <c r="CA5" s="1" t="s">
        <v>162</v>
      </c>
      <c r="CB5" s="1" t="s">
        <v>318</v>
      </c>
      <c r="CC5" s="1" t="s">
        <v>163</v>
      </c>
      <c r="CD5" s="1" t="s">
        <v>319</v>
      </c>
      <c r="CE5" s="1" t="s">
        <v>164</v>
      </c>
      <c r="CO5" s="1" t="s">
        <v>202</v>
      </c>
      <c r="CP5" s="1" t="s">
        <v>203</v>
      </c>
      <c r="CQ5" s="1" t="s">
        <v>149</v>
      </c>
      <c r="CR5" s="1" t="s">
        <v>204</v>
      </c>
      <c r="CU5" s="1" t="s">
        <v>204</v>
      </c>
      <c r="CX5" s="1" t="s">
        <v>205</v>
      </c>
      <c r="CZ5" s="1" t="s">
        <v>149</v>
      </c>
      <c r="DI5" s="1" t="s">
        <v>206</v>
      </c>
    </row>
    <row r="6" spans="1:136" x14ac:dyDescent="0.3">
      <c r="A6" s="1" t="s">
        <v>207</v>
      </c>
      <c r="B6" s="1" t="s">
        <v>174</v>
      </c>
      <c r="C6" s="1" t="s">
        <v>208</v>
      </c>
      <c r="D6" s="2" t="str">
        <f t="shared" si="0"/>
        <v>RD00004/105</v>
      </c>
      <c r="F6" s="1" t="s">
        <v>208</v>
      </c>
      <c r="J6" s="1" t="s">
        <v>134</v>
      </c>
      <c r="K6" s="1" t="s">
        <v>135</v>
      </c>
      <c r="L6" s="1" t="s">
        <v>136</v>
      </c>
      <c r="M6" s="1" t="s">
        <v>208</v>
      </c>
      <c r="N6" s="1" t="s">
        <v>208</v>
      </c>
      <c r="O6" s="1" t="s">
        <v>209</v>
      </c>
      <c r="P6" s="1" t="s">
        <v>137</v>
      </c>
      <c r="Q6" s="1" t="s">
        <v>138</v>
      </c>
      <c r="R6" s="1" t="s">
        <v>139</v>
      </c>
      <c r="S6" s="1" t="s">
        <v>186</v>
      </c>
      <c r="T6" s="1" t="s">
        <v>186</v>
      </c>
      <c r="U6" s="1" t="s">
        <v>141</v>
      </c>
      <c r="V6" s="1" t="s">
        <v>142</v>
      </c>
      <c r="X6" s="1" t="s">
        <v>143</v>
      </c>
      <c r="Y6" s="1" t="s">
        <v>144</v>
      </c>
      <c r="Z6" s="1" t="s">
        <v>144</v>
      </c>
      <c r="AA6" s="1" t="s">
        <v>145</v>
      </c>
      <c r="AB6" s="1" t="s">
        <v>146</v>
      </c>
      <c r="AD6" s="1" t="s">
        <v>316</v>
      </c>
      <c r="AM6" s="1" t="s">
        <v>210</v>
      </c>
      <c r="AN6" s="1" t="s">
        <v>148</v>
      </c>
      <c r="AP6" s="1" t="s">
        <v>148</v>
      </c>
      <c r="AQ6" s="1" t="s">
        <v>218</v>
      </c>
      <c r="AR6" s="1" t="s">
        <v>149</v>
      </c>
      <c r="AS6" s="1" t="s">
        <v>149</v>
      </c>
      <c r="AT6" s="1" t="s">
        <v>149</v>
      </c>
      <c r="AU6" s="1" t="s">
        <v>211</v>
      </c>
      <c r="AV6" s="1" t="s">
        <v>212</v>
      </c>
      <c r="AW6" s="1" t="s">
        <v>213</v>
      </c>
      <c r="AX6" s="1" t="s">
        <v>214</v>
      </c>
      <c r="BA6" s="1" t="s">
        <v>215</v>
      </c>
      <c r="BF6" s="1" t="s">
        <v>131</v>
      </c>
      <c r="BS6" s="1" t="s">
        <v>155</v>
      </c>
      <c r="BT6" s="1" t="s">
        <v>156</v>
      </c>
      <c r="BU6" s="1" t="s">
        <v>157</v>
      </c>
      <c r="BV6" s="1" t="s">
        <v>158</v>
      </c>
      <c r="BW6" s="1" t="s">
        <v>159</v>
      </c>
      <c r="BX6" s="1" t="s">
        <v>160</v>
      </c>
      <c r="BY6" s="1" t="s">
        <v>210</v>
      </c>
      <c r="BZ6" s="1" t="s">
        <v>161</v>
      </c>
      <c r="CA6" s="1" t="s">
        <v>162</v>
      </c>
      <c r="CB6" s="1" t="s">
        <v>318</v>
      </c>
      <c r="CC6" s="1" t="s">
        <v>163</v>
      </c>
      <c r="CD6" s="1" t="s">
        <v>319</v>
      </c>
      <c r="CE6" s="1" t="s">
        <v>164</v>
      </c>
      <c r="CO6" s="1" t="s">
        <v>216</v>
      </c>
      <c r="CP6" s="1" t="s">
        <v>217</v>
      </c>
      <c r="CQ6" s="1" t="s">
        <v>149</v>
      </c>
      <c r="CR6" s="1" t="s">
        <v>218</v>
      </c>
      <c r="CU6" s="1" t="s">
        <v>218</v>
      </c>
      <c r="CX6" s="1" t="s">
        <v>219</v>
      </c>
      <c r="CZ6" s="1" t="s">
        <v>149</v>
      </c>
      <c r="DI6" s="1" t="s">
        <v>220</v>
      </c>
    </row>
    <row r="7" spans="1:136" x14ac:dyDescent="0.3">
      <c r="A7" s="1" t="s">
        <v>221</v>
      </c>
      <c r="B7" s="1" t="s">
        <v>174</v>
      </c>
      <c r="C7" s="1" t="s">
        <v>222</v>
      </c>
      <c r="D7" s="2" t="str">
        <f t="shared" si="0"/>
        <v>RD00004/106</v>
      </c>
      <c r="F7" s="1" t="s">
        <v>222</v>
      </c>
      <c r="J7" s="1" t="s">
        <v>134</v>
      </c>
      <c r="K7" s="1" t="s">
        <v>135</v>
      </c>
      <c r="L7" s="1" t="s">
        <v>136</v>
      </c>
      <c r="M7" s="1" t="s">
        <v>223</v>
      </c>
      <c r="N7" s="1" t="s">
        <v>223</v>
      </c>
      <c r="O7" s="1" t="s">
        <v>224</v>
      </c>
      <c r="P7" s="1" t="s">
        <v>137</v>
      </c>
      <c r="Q7" s="1" t="s">
        <v>138</v>
      </c>
      <c r="R7" s="1" t="s">
        <v>139</v>
      </c>
      <c r="S7" s="1" t="s">
        <v>136</v>
      </c>
      <c r="T7" s="1" t="s">
        <v>201</v>
      </c>
      <c r="U7" s="1" t="s">
        <v>141</v>
      </c>
      <c r="V7" s="1" t="s">
        <v>142</v>
      </c>
      <c r="X7" s="1" t="s">
        <v>143</v>
      </c>
      <c r="Y7" s="1" t="s">
        <v>144</v>
      </c>
      <c r="Z7" s="1" t="s">
        <v>144</v>
      </c>
      <c r="AA7" s="1" t="s">
        <v>145</v>
      </c>
      <c r="AB7" s="1" t="s">
        <v>146</v>
      </c>
      <c r="AD7" s="1" t="s">
        <v>316</v>
      </c>
      <c r="AM7" s="1" t="s">
        <v>210</v>
      </c>
      <c r="AN7" s="1" t="s">
        <v>148</v>
      </c>
      <c r="AP7" s="1" t="s">
        <v>148</v>
      </c>
      <c r="AQ7" s="1" t="s">
        <v>230</v>
      </c>
      <c r="AR7" s="1" t="s">
        <v>149</v>
      </c>
      <c r="AS7" s="1" t="s">
        <v>149</v>
      </c>
      <c r="AT7" s="1" t="s">
        <v>149</v>
      </c>
      <c r="AU7" s="1" t="s">
        <v>211</v>
      </c>
      <c r="AV7" s="1" t="s">
        <v>212</v>
      </c>
      <c r="AW7" s="1" t="s">
        <v>225</v>
      </c>
      <c r="AX7" s="1" t="s">
        <v>226</v>
      </c>
      <c r="BA7" s="1" t="s">
        <v>227</v>
      </c>
      <c r="BF7" s="1" t="s">
        <v>131</v>
      </c>
      <c r="BS7" s="1" t="s">
        <v>155</v>
      </c>
      <c r="BT7" s="1" t="s">
        <v>156</v>
      </c>
      <c r="BU7" s="1" t="s">
        <v>157</v>
      </c>
      <c r="BV7" s="1" t="s">
        <v>158</v>
      </c>
      <c r="BW7" s="1" t="s">
        <v>159</v>
      </c>
      <c r="BX7" s="1" t="s">
        <v>160</v>
      </c>
      <c r="BY7" s="1" t="s">
        <v>210</v>
      </c>
      <c r="BZ7" s="1" t="s">
        <v>161</v>
      </c>
      <c r="CA7" s="1" t="s">
        <v>162</v>
      </c>
      <c r="CB7" s="1" t="s">
        <v>318</v>
      </c>
      <c r="CC7" s="1" t="s">
        <v>163</v>
      </c>
      <c r="CD7" s="1" t="s">
        <v>319</v>
      </c>
      <c r="CE7" s="1" t="s">
        <v>164</v>
      </c>
      <c r="CO7" s="1" t="s">
        <v>228</v>
      </c>
      <c r="CP7" s="1" t="s">
        <v>229</v>
      </c>
      <c r="CQ7" s="1" t="s">
        <v>149</v>
      </c>
      <c r="CR7" s="1" t="s">
        <v>230</v>
      </c>
      <c r="CU7" s="1" t="s">
        <v>230</v>
      </c>
      <c r="CX7" s="1" t="s">
        <v>231</v>
      </c>
      <c r="CZ7" s="1" t="s">
        <v>149</v>
      </c>
      <c r="DI7" s="1" t="s">
        <v>232</v>
      </c>
    </row>
    <row r="8" spans="1:136" x14ac:dyDescent="0.3">
      <c r="A8" s="1" t="s">
        <v>233</v>
      </c>
      <c r="B8" s="1" t="s">
        <v>234</v>
      </c>
      <c r="C8" s="1" t="s">
        <v>133</v>
      </c>
      <c r="D8" s="2" t="str">
        <f t="shared" si="0"/>
        <v>RD00005/107</v>
      </c>
      <c r="F8" s="1" t="s">
        <v>133</v>
      </c>
      <c r="J8" s="1" t="s">
        <v>134</v>
      </c>
      <c r="K8" s="1" t="s">
        <v>135</v>
      </c>
      <c r="L8" s="1" t="s">
        <v>136</v>
      </c>
      <c r="M8" s="1" t="s">
        <v>133</v>
      </c>
      <c r="N8" s="1" t="s">
        <v>133</v>
      </c>
      <c r="O8" s="1" t="s">
        <v>133</v>
      </c>
      <c r="P8" s="1" t="s">
        <v>137</v>
      </c>
      <c r="Q8" s="1" t="s">
        <v>138</v>
      </c>
      <c r="R8" s="1" t="s">
        <v>139</v>
      </c>
      <c r="S8" s="1" t="s">
        <v>136</v>
      </c>
      <c r="T8" s="1" t="s">
        <v>140</v>
      </c>
      <c r="U8" s="1" t="s">
        <v>141</v>
      </c>
      <c r="V8" s="1" t="s">
        <v>142</v>
      </c>
      <c r="X8" s="1" t="s">
        <v>143</v>
      </c>
      <c r="Y8" s="1" t="s">
        <v>144</v>
      </c>
      <c r="Z8" s="1" t="s">
        <v>144</v>
      </c>
      <c r="AA8" s="1" t="s">
        <v>145</v>
      </c>
      <c r="AB8" s="1" t="s">
        <v>146</v>
      </c>
      <c r="AD8" s="1" t="s">
        <v>316</v>
      </c>
      <c r="AM8" s="1" t="s">
        <v>175</v>
      </c>
      <c r="AN8" s="1" t="s">
        <v>148</v>
      </c>
      <c r="AP8" s="1" t="s">
        <v>148</v>
      </c>
      <c r="AQ8" s="1" t="s">
        <v>237</v>
      </c>
      <c r="AR8" s="1" t="s">
        <v>149</v>
      </c>
      <c r="AS8" s="1" t="s">
        <v>149</v>
      </c>
      <c r="AT8" s="1" t="s">
        <v>149</v>
      </c>
      <c r="AU8" s="1" t="s">
        <v>150</v>
      </c>
      <c r="AV8" s="1" t="s">
        <v>151</v>
      </c>
      <c r="AW8" s="1" t="s">
        <v>152</v>
      </c>
      <c r="AX8" s="1" t="s">
        <v>153</v>
      </c>
      <c r="BA8" s="1" t="s">
        <v>154</v>
      </c>
      <c r="BF8" s="1" t="s">
        <v>131</v>
      </c>
      <c r="BS8" s="1" t="s">
        <v>155</v>
      </c>
      <c r="BT8" s="1" t="s">
        <v>156</v>
      </c>
      <c r="BU8" s="1" t="s">
        <v>157</v>
      </c>
      <c r="BV8" s="1" t="s">
        <v>158</v>
      </c>
      <c r="BW8" s="1" t="s">
        <v>159</v>
      </c>
      <c r="BX8" s="1" t="s">
        <v>160</v>
      </c>
      <c r="BY8" s="1" t="s">
        <v>175</v>
      </c>
      <c r="BZ8" s="1" t="s">
        <v>161</v>
      </c>
      <c r="CA8" s="1" t="s">
        <v>162</v>
      </c>
      <c r="CB8" s="1" t="s">
        <v>318</v>
      </c>
      <c r="CC8" s="1" t="s">
        <v>163</v>
      </c>
      <c r="CD8" s="1" t="s">
        <v>319</v>
      </c>
      <c r="CE8" s="1" t="s">
        <v>164</v>
      </c>
      <c r="CO8" s="1" t="s">
        <v>235</v>
      </c>
      <c r="CP8" s="1" t="s">
        <v>236</v>
      </c>
      <c r="CQ8" s="1" t="s">
        <v>149</v>
      </c>
      <c r="CR8" s="1" t="s">
        <v>237</v>
      </c>
      <c r="CU8" s="1" t="s">
        <v>237</v>
      </c>
      <c r="CX8" s="1" t="s">
        <v>238</v>
      </c>
      <c r="CZ8" s="1" t="s">
        <v>149</v>
      </c>
      <c r="DI8" s="1" t="s">
        <v>239</v>
      </c>
    </row>
    <row r="9" spans="1:136" x14ac:dyDescent="0.3">
      <c r="A9" s="1" t="s">
        <v>240</v>
      </c>
      <c r="B9" s="1" t="s">
        <v>234</v>
      </c>
      <c r="C9" s="1" t="s">
        <v>241</v>
      </c>
      <c r="D9" s="2" t="str">
        <f t="shared" si="0"/>
        <v>RD00005/108</v>
      </c>
      <c r="F9" s="1" t="s">
        <v>241</v>
      </c>
      <c r="J9" s="1" t="s">
        <v>134</v>
      </c>
      <c r="K9" s="1" t="s">
        <v>135</v>
      </c>
      <c r="L9" s="1" t="s">
        <v>136</v>
      </c>
      <c r="M9" s="1" t="s">
        <v>242</v>
      </c>
      <c r="N9" s="1" t="s">
        <v>242</v>
      </c>
      <c r="O9" s="1" t="s">
        <v>243</v>
      </c>
      <c r="P9" s="1" t="s">
        <v>137</v>
      </c>
      <c r="Q9" s="1" t="s">
        <v>138</v>
      </c>
      <c r="R9" s="1" t="s">
        <v>139</v>
      </c>
      <c r="S9" s="1" t="s">
        <v>186</v>
      </c>
      <c r="T9" s="1" t="s">
        <v>186</v>
      </c>
      <c r="U9" s="1" t="s">
        <v>141</v>
      </c>
      <c r="V9" s="1" t="s">
        <v>142</v>
      </c>
      <c r="X9" s="1" t="s">
        <v>143</v>
      </c>
      <c r="Y9" s="1" t="s">
        <v>144</v>
      </c>
      <c r="Z9" s="1" t="s">
        <v>144</v>
      </c>
      <c r="AA9" s="1" t="s">
        <v>145</v>
      </c>
      <c r="AB9" s="1" t="s">
        <v>146</v>
      </c>
      <c r="AD9" s="1" t="s">
        <v>316</v>
      </c>
      <c r="AM9" s="1" t="s">
        <v>175</v>
      </c>
      <c r="AN9" s="1" t="s">
        <v>148</v>
      </c>
      <c r="AP9" s="1" t="s">
        <v>148</v>
      </c>
      <c r="AQ9" s="1" t="s">
        <v>250</v>
      </c>
      <c r="AR9" s="1" t="s">
        <v>149</v>
      </c>
      <c r="AS9" s="1" t="s">
        <v>149</v>
      </c>
      <c r="AT9" s="1" t="s">
        <v>149</v>
      </c>
      <c r="AU9" s="1" t="s">
        <v>244</v>
      </c>
      <c r="AV9" s="1" t="s">
        <v>245</v>
      </c>
      <c r="AW9" s="1" t="s">
        <v>246</v>
      </c>
      <c r="AX9" s="1" t="s">
        <v>247</v>
      </c>
      <c r="BA9" s="1" t="s">
        <v>215</v>
      </c>
      <c r="BF9" s="1" t="s">
        <v>131</v>
      </c>
      <c r="BS9" s="1" t="s">
        <v>155</v>
      </c>
      <c r="BT9" s="1" t="s">
        <v>156</v>
      </c>
      <c r="BU9" s="1" t="s">
        <v>157</v>
      </c>
      <c r="BV9" s="1" t="s">
        <v>158</v>
      </c>
      <c r="BW9" s="1" t="s">
        <v>159</v>
      </c>
      <c r="BX9" s="1" t="s">
        <v>160</v>
      </c>
      <c r="BY9" s="1" t="s">
        <v>175</v>
      </c>
      <c r="BZ9" s="1" t="s">
        <v>161</v>
      </c>
      <c r="CA9" s="1" t="s">
        <v>162</v>
      </c>
      <c r="CB9" s="1" t="s">
        <v>318</v>
      </c>
      <c r="CC9" s="1" t="s">
        <v>163</v>
      </c>
      <c r="CD9" s="1" t="s">
        <v>319</v>
      </c>
      <c r="CE9" s="1" t="s">
        <v>164</v>
      </c>
      <c r="CO9" s="1" t="s">
        <v>248</v>
      </c>
      <c r="CP9" s="1" t="s">
        <v>249</v>
      </c>
      <c r="CQ9" s="1" t="s">
        <v>149</v>
      </c>
      <c r="CR9" s="1" t="s">
        <v>250</v>
      </c>
      <c r="CU9" s="1" t="s">
        <v>250</v>
      </c>
      <c r="CX9" s="1" t="s">
        <v>251</v>
      </c>
      <c r="CZ9" s="1" t="s">
        <v>149</v>
      </c>
      <c r="DI9" s="1" t="s">
        <v>252</v>
      </c>
    </row>
    <row r="10" spans="1:136" x14ac:dyDescent="0.3">
      <c r="A10" s="1" t="s">
        <v>253</v>
      </c>
      <c r="B10" s="1" t="s">
        <v>234</v>
      </c>
      <c r="C10" s="1" t="s">
        <v>222</v>
      </c>
      <c r="D10" s="2" t="str">
        <f t="shared" si="0"/>
        <v>RD00005/109</v>
      </c>
      <c r="F10" s="1" t="s">
        <v>222</v>
      </c>
      <c r="J10" s="1" t="s">
        <v>134</v>
      </c>
      <c r="K10" s="1" t="s">
        <v>135</v>
      </c>
      <c r="L10" s="1" t="s">
        <v>136</v>
      </c>
      <c r="M10" s="1" t="s">
        <v>223</v>
      </c>
      <c r="N10" s="1" t="s">
        <v>223</v>
      </c>
      <c r="O10" s="1" t="s">
        <v>224</v>
      </c>
      <c r="P10" s="1" t="s">
        <v>137</v>
      </c>
      <c r="Q10" s="1" t="s">
        <v>138</v>
      </c>
      <c r="R10" s="1" t="s">
        <v>139</v>
      </c>
      <c r="S10" s="1" t="s">
        <v>136</v>
      </c>
      <c r="T10" s="1" t="s">
        <v>201</v>
      </c>
      <c r="U10" s="1" t="s">
        <v>141</v>
      </c>
      <c r="V10" s="1" t="s">
        <v>142</v>
      </c>
      <c r="X10" s="1" t="s">
        <v>143</v>
      </c>
      <c r="Y10" s="1" t="s">
        <v>144</v>
      </c>
      <c r="Z10" s="1" t="s">
        <v>144</v>
      </c>
      <c r="AA10" s="1" t="s">
        <v>145</v>
      </c>
      <c r="AB10" s="1" t="s">
        <v>146</v>
      </c>
      <c r="AD10" s="1" t="s">
        <v>316</v>
      </c>
      <c r="AM10" s="1" t="s">
        <v>175</v>
      </c>
      <c r="AN10" s="1" t="s">
        <v>148</v>
      </c>
      <c r="AP10" s="1" t="s">
        <v>148</v>
      </c>
      <c r="AQ10" s="1" t="s">
        <v>256</v>
      </c>
      <c r="AR10" s="1" t="s">
        <v>149</v>
      </c>
      <c r="AS10" s="1" t="s">
        <v>149</v>
      </c>
      <c r="AT10" s="1" t="s">
        <v>149</v>
      </c>
      <c r="AU10" s="1" t="s">
        <v>211</v>
      </c>
      <c r="AV10" s="1" t="s">
        <v>212</v>
      </c>
      <c r="AW10" s="1" t="s">
        <v>225</v>
      </c>
      <c r="AX10" s="1" t="s">
        <v>226</v>
      </c>
      <c r="BA10" s="1" t="s">
        <v>227</v>
      </c>
      <c r="BF10" s="1" t="s">
        <v>131</v>
      </c>
      <c r="BS10" s="1" t="s">
        <v>155</v>
      </c>
      <c r="BT10" s="1" t="s">
        <v>156</v>
      </c>
      <c r="BU10" s="1" t="s">
        <v>157</v>
      </c>
      <c r="BV10" s="1" t="s">
        <v>158</v>
      </c>
      <c r="BW10" s="1" t="s">
        <v>159</v>
      </c>
      <c r="BX10" s="1" t="s">
        <v>160</v>
      </c>
      <c r="BY10" s="1" t="s">
        <v>175</v>
      </c>
      <c r="BZ10" s="1" t="s">
        <v>161</v>
      </c>
      <c r="CA10" s="1" t="s">
        <v>162</v>
      </c>
      <c r="CB10" s="1" t="s">
        <v>318</v>
      </c>
      <c r="CC10" s="1" t="s">
        <v>163</v>
      </c>
      <c r="CD10" s="1" t="s">
        <v>319</v>
      </c>
      <c r="CE10" s="1" t="s">
        <v>164</v>
      </c>
      <c r="CO10" s="1" t="s">
        <v>254</v>
      </c>
      <c r="CP10" s="1" t="s">
        <v>255</v>
      </c>
      <c r="CQ10" s="1" t="s">
        <v>149</v>
      </c>
      <c r="CR10" s="1" t="s">
        <v>256</v>
      </c>
      <c r="CU10" s="1" t="s">
        <v>256</v>
      </c>
      <c r="CX10" s="1" t="s">
        <v>257</v>
      </c>
      <c r="CZ10" s="1" t="s">
        <v>149</v>
      </c>
      <c r="DI10" s="1" t="s">
        <v>258</v>
      </c>
    </row>
    <row r="11" spans="1:136" x14ac:dyDescent="0.3">
      <c r="A11" s="1" t="s">
        <v>151</v>
      </c>
      <c r="B11" s="1" t="s">
        <v>234</v>
      </c>
      <c r="C11" s="1" t="s">
        <v>223</v>
      </c>
      <c r="D11" s="2" t="str">
        <f t="shared" si="0"/>
        <v>RD00005/110</v>
      </c>
      <c r="F11" s="1" t="s">
        <v>223</v>
      </c>
      <c r="J11" s="1" t="s">
        <v>134</v>
      </c>
      <c r="K11" s="1" t="s">
        <v>135</v>
      </c>
      <c r="L11" s="1" t="s">
        <v>136</v>
      </c>
      <c r="M11" s="1" t="s">
        <v>223</v>
      </c>
      <c r="N11" s="1" t="s">
        <v>223</v>
      </c>
      <c r="O11" s="1" t="s">
        <v>224</v>
      </c>
      <c r="P11" s="1" t="s">
        <v>137</v>
      </c>
      <c r="Q11" s="1" t="s">
        <v>138</v>
      </c>
      <c r="R11" s="1" t="s">
        <v>139</v>
      </c>
      <c r="S11" s="1" t="s">
        <v>136</v>
      </c>
      <c r="T11" s="1" t="s">
        <v>201</v>
      </c>
      <c r="U11" s="1" t="s">
        <v>141</v>
      </c>
      <c r="V11" s="1" t="s">
        <v>142</v>
      </c>
      <c r="X11" s="1" t="s">
        <v>143</v>
      </c>
      <c r="Y11" s="1" t="s">
        <v>144</v>
      </c>
      <c r="Z11" s="1" t="s">
        <v>144</v>
      </c>
      <c r="AA11" s="1" t="s">
        <v>145</v>
      </c>
      <c r="AB11" s="1" t="s">
        <v>146</v>
      </c>
      <c r="AD11" s="1" t="s">
        <v>316</v>
      </c>
      <c r="AM11" s="1" t="s">
        <v>175</v>
      </c>
      <c r="AN11" s="1" t="s">
        <v>148</v>
      </c>
      <c r="AP11" s="1" t="s">
        <v>148</v>
      </c>
      <c r="AQ11" s="1" t="s">
        <v>256</v>
      </c>
      <c r="AR11" s="1" t="s">
        <v>149</v>
      </c>
      <c r="AS11" s="1" t="s">
        <v>149</v>
      </c>
      <c r="AT11" s="1" t="s">
        <v>149</v>
      </c>
      <c r="AU11" s="1" t="s">
        <v>211</v>
      </c>
      <c r="AV11" s="1" t="s">
        <v>212</v>
      </c>
      <c r="AW11" s="1" t="s">
        <v>225</v>
      </c>
      <c r="AX11" s="1" t="s">
        <v>226</v>
      </c>
      <c r="BA11" s="1" t="s">
        <v>227</v>
      </c>
      <c r="BF11" s="1" t="s">
        <v>131</v>
      </c>
      <c r="BS11" s="1" t="s">
        <v>155</v>
      </c>
      <c r="BT11" s="1" t="s">
        <v>156</v>
      </c>
      <c r="BU11" s="1" t="s">
        <v>157</v>
      </c>
      <c r="BV11" s="1" t="s">
        <v>158</v>
      </c>
      <c r="BW11" s="1" t="s">
        <v>159</v>
      </c>
      <c r="BX11" s="1" t="s">
        <v>160</v>
      </c>
      <c r="BY11" s="1" t="s">
        <v>175</v>
      </c>
      <c r="BZ11" s="1" t="s">
        <v>161</v>
      </c>
      <c r="CA11" s="1" t="s">
        <v>162</v>
      </c>
      <c r="CB11" s="1" t="s">
        <v>318</v>
      </c>
      <c r="CC11" s="1" t="s">
        <v>163</v>
      </c>
      <c r="CD11" s="1" t="s">
        <v>319</v>
      </c>
      <c r="CE11" s="1" t="s">
        <v>164</v>
      </c>
      <c r="CO11" s="1" t="s">
        <v>259</v>
      </c>
      <c r="CP11" s="1" t="s">
        <v>260</v>
      </c>
      <c r="CQ11" s="1" t="s">
        <v>149</v>
      </c>
      <c r="CR11" s="1" t="s">
        <v>256</v>
      </c>
      <c r="CU11" s="1" t="s">
        <v>256</v>
      </c>
      <c r="CX11" s="1" t="s">
        <v>257</v>
      </c>
      <c r="CZ11" s="1" t="s">
        <v>149</v>
      </c>
      <c r="DI11" s="1" t="s">
        <v>258</v>
      </c>
    </row>
    <row r="12" spans="1:136" x14ac:dyDescent="0.3">
      <c r="A12" s="1" t="s">
        <v>261</v>
      </c>
      <c r="B12" s="1" t="s">
        <v>262</v>
      </c>
      <c r="C12" s="1" t="s">
        <v>133</v>
      </c>
      <c r="D12" s="2" t="str">
        <f t="shared" si="0"/>
        <v>RD00006/111</v>
      </c>
      <c r="F12" s="1" t="s">
        <v>133</v>
      </c>
      <c r="J12" s="1" t="s">
        <v>134</v>
      </c>
      <c r="K12" s="1" t="s">
        <v>135</v>
      </c>
      <c r="L12" s="1" t="s">
        <v>136</v>
      </c>
      <c r="M12" s="1" t="s">
        <v>133</v>
      </c>
      <c r="N12" s="1" t="s">
        <v>133</v>
      </c>
      <c r="O12" s="1" t="s">
        <v>133</v>
      </c>
      <c r="P12" s="1" t="s">
        <v>137</v>
      </c>
      <c r="Q12" s="1" t="s">
        <v>138</v>
      </c>
      <c r="R12" s="1" t="s">
        <v>139</v>
      </c>
      <c r="S12" s="1" t="s">
        <v>136</v>
      </c>
      <c r="T12" s="1" t="s">
        <v>140</v>
      </c>
      <c r="U12" s="1" t="s">
        <v>141</v>
      </c>
      <c r="V12" s="1" t="s">
        <v>142</v>
      </c>
      <c r="X12" s="1" t="s">
        <v>143</v>
      </c>
      <c r="Y12" s="1" t="s">
        <v>144</v>
      </c>
      <c r="Z12" s="1" t="s">
        <v>144</v>
      </c>
      <c r="AA12" s="1" t="s">
        <v>145</v>
      </c>
      <c r="AB12" s="1" t="s">
        <v>146</v>
      </c>
      <c r="AD12" s="1" t="s">
        <v>316</v>
      </c>
      <c r="AM12" s="1" t="s">
        <v>175</v>
      </c>
      <c r="AN12" s="1" t="s">
        <v>148</v>
      </c>
      <c r="AP12" s="1" t="s">
        <v>148</v>
      </c>
      <c r="AQ12" s="1" t="s">
        <v>265</v>
      </c>
      <c r="AR12" s="1" t="s">
        <v>149</v>
      </c>
      <c r="AS12" s="1" t="s">
        <v>149</v>
      </c>
      <c r="AT12" s="1" t="s">
        <v>149</v>
      </c>
      <c r="AU12" s="1" t="s">
        <v>150</v>
      </c>
      <c r="AV12" s="1" t="s">
        <v>151</v>
      </c>
      <c r="AW12" s="1" t="s">
        <v>152</v>
      </c>
      <c r="AX12" s="1" t="s">
        <v>153</v>
      </c>
      <c r="BA12" s="1" t="s">
        <v>154</v>
      </c>
      <c r="BF12" s="1" t="s">
        <v>131</v>
      </c>
      <c r="BS12" s="1" t="s">
        <v>155</v>
      </c>
      <c r="BT12" s="1" t="s">
        <v>156</v>
      </c>
      <c r="BU12" s="1" t="s">
        <v>157</v>
      </c>
      <c r="BV12" s="1" t="s">
        <v>158</v>
      </c>
      <c r="BW12" s="1" t="s">
        <v>159</v>
      </c>
      <c r="BX12" s="1" t="s">
        <v>160</v>
      </c>
      <c r="BY12" s="1" t="s">
        <v>175</v>
      </c>
      <c r="BZ12" s="1" t="s">
        <v>161</v>
      </c>
      <c r="CA12" s="1" t="s">
        <v>162</v>
      </c>
      <c r="CB12" s="1" t="s">
        <v>318</v>
      </c>
      <c r="CC12" s="1" t="s">
        <v>163</v>
      </c>
      <c r="CD12" s="1" t="s">
        <v>319</v>
      </c>
      <c r="CE12" s="1" t="s">
        <v>164</v>
      </c>
      <c r="CO12" s="1" t="s">
        <v>263</v>
      </c>
      <c r="CP12" s="1" t="s">
        <v>264</v>
      </c>
      <c r="CQ12" s="1" t="s">
        <v>149</v>
      </c>
      <c r="CR12" s="1" t="s">
        <v>265</v>
      </c>
      <c r="CU12" s="1" t="s">
        <v>265</v>
      </c>
      <c r="CX12" s="1" t="s">
        <v>266</v>
      </c>
      <c r="CZ12" s="1" t="s">
        <v>149</v>
      </c>
      <c r="DI12" s="1" t="s">
        <v>267</v>
      </c>
    </row>
    <row r="13" spans="1:136" x14ac:dyDescent="0.3">
      <c r="A13" s="1" t="s">
        <v>268</v>
      </c>
      <c r="B13" s="1" t="s">
        <v>262</v>
      </c>
      <c r="C13" s="1" t="s">
        <v>241</v>
      </c>
      <c r="D13" s="2" t="str">
        <f t="shared" si="0"/>
        <v>RD00006/112</v>
      </c>
      <c r="F13" s="1" t="s">
        <v>241</v>
      </c>
      <c r="J13" s="1" t="s">
        <v>134</v>
      </c>
      <c r="K13" s="1" t="s">
        <v>135</v>
      </c>
      <c r="L13" s="1" t="s">
        <v>136</v>
      </c>
      <c r="M13" s="1" t="s">
        <v>242</v>
      </c>
      <c r="N13" s="1" t="s">
        <v>242</v>
      </c>
      <c r="O13" s="1" t="s">
        <v>243</v>
      </c>
      <c r="P13" s="1" t="s">
        <v>137</v>
      </c>
      <c r="Q13" s="1" t="s">
        <v>138</v>
      </c>
      <c r="R13" s="1" t="s">
        <v>139</v>
      </c>
      <c r="S13" s="1" t="s">
        <v>186</v>
      </c>
      <c r="T13" s="1" t="s">
        <v>186</v>
      </c>
      <c r="U13" s="1" t="s">
        <v>141</v>
      </c>
      <c r="V13" s="1" t="s">
        <v>142</v>
      </c>
      <c r="X13" s="1" t="s">
        <v>269</v>
      </c>
      <c r="Y13" s="1" t="s">
        <v>144</v>
      </c>
      <c r="Z13" s="1" t="s">
        <v>144</v>
      </c>
      <c r="AA13" s="1" t="s">
        <v>145</v>
      </c>
      <c r="AB13" s="1" t="s">
        <v>146</v>
      </c>
      <c r="AD13" s="1" t="s">
        <v>316</v>
      </c>
      <c r="AM13" s="1" t="s">
        <v>270</v>
      </c>
      <c r="AN13" s="1" t="s">
        <v>148</v>
      </c>
      <c r="AP13" s="1" t="s">
        <v>148</v>
      </c>
      <c r="AQ13" s="1" t="s">
        <v>273</v>
      </c>
      <c r="AR13" s="1" t="s">
        <v>149</v>
      </c>
      <c r="AS13" s="1" t="s">
        <v>149</v>
      </c>
      <c r="AT13" s="1" t="s">
        <v>149</v>
      </c>
      <c r="AU13" s="1" t="s">
        <v>244</v>
      </c>
      <c r="AV13" s="1" t="s">
        <v>245</v>
      </c>
      <c r="AW13" s="1" t="s">
        <v>246</v>
      </c>
      <c r="AX13" s="1" t="s">
        <v>247</v>
      </c>
      <c r="BA13" s="1" t="s">
        <v>215</v>
      </c>
      <c r="BF13" s="1" t="s">
        <v>131</v>
      </c>
      <c r="BS13" s="1" t="s">
        <v>155</v>
      </c>
      <c r="BT13" s="1" t="s">
        <v>156</v>
      </c>
      <c r="BU13" s="1" t="s">
        <v>157</v>
      </c>
      <c r="BV13" s="1" t="s">
        <v>158</v>
      </c>
      <c r="BW13" s="1" t="s">
        <v>159</v>
      </c>
      <c r="BX13" s="1" t="s">
        <v>160</v>
      </c>
      <c r="BY13" s="1" t="s">
        <v>270</v>
      </c>
      <c r="BZ13" s="1" t="s">
        <v>161</v>
      </c>
      <c r="CA13" s="1" t="s">
        <v>162</v>
      </c>
      <c r="CB13" s="1" t="s">
        <v>318</v>
      </c>
      <c r="CC13" s="1" t="s">
        <v>163</v>
      </c>
      <c r="CD13" s="1" t="s">
        <v>319</v>
      </c>
      <c r="CE13" s="1" t="s">
        <v>164</v>
      </c>
      <c r="CO13" s="1" t="s">
        <v>271</v>
      </c>
      <c r="CP13" s="1" t="s">
        <v>272</v>
      </c>
      <c r="CQ13" s="1" t="s">
        <v>149</v>
      </c>
      <c r="CR13" s="1" t="s">
        <v>273</v>
      </c>
      <c r="CU13" s="1" t="s">
        <v>273</v>
      </c>
      <c r="CX13" s="1" t="s">
        <v>274</v>
      </c>
      <c r="CZ13" s="1" t="s">
        <v>149</v>
      </c>
      <c r="DI13" s="1" t="s">
        <v>275</v>
      </c>
    </row>
    <row r="14" spans="1:136" x14ac:dyDescent="0.3">
      <c r="A14" s="1" t="s">
        <v>276</v>
      </c>
      <c r="B14" s="1" t="s">
        <v>262</v>
      </c>
      <c r="C14" s="1" t="s">
        <v>241</v>
      </c>
      <c r="D14" s="2" t="str">
        <f t="shared" si="0"/>
        <v>RD00006/113</v>
      </c>
      <c r="F14" s="1" t="s">
        <v>241</v>
      </c>
      <c r="J14" s="1" t="s">
        <v>134</v>
      </c>
      <c r="K14" s="1" t="s">
        <v>135</v>
      </c>
      <c r="L14" s="1" t="s">
        <v>136</v>
      </c>
      <c r="M14" s="1" t="s">
        <v>242</v>
      </c>
      <c r="N14" s="1" t="s">
        <v>242</v>
      </c>
      <c r="O14" s="1" t="s">
        <v>243</v>
      </c>
      <c r="P14" s="1" t="s">
        <v>137</v>
      </c>
      <c r="Q14" s="1" t="s">
        <v>138</v>
      </c>
      <c r="R14" s="1" t="s">
        <v>139</v>
      </c>
      <c r="S14" s="1" t="s">
        <v>186</v>
      </c>
      <c r="T14" s="1" t="s">
        <v>186</v>
      </c>
      <c r="U14" s="1" t="s">
        <v>141</v>
      </c>
      <c r="V14" s="1" t="s">
        <v>142</v>
      </c>
      <c r="X14" s="1" t="s">
        <v>143</v>
      </c>
      <c r="Y14" s="1" t="s">
        <v>144</v>
      </c>
      <c r="Z14" s="1" t="s">
        <v>144</v>
      </c>
      <c r="AA14" s="1" t="s">
        <v>145</v>
      </c>
      <c r="AB14" s="1" t="s">
        <v>146</v>
      </c>
      <c r="AD14" s="1" t="s">
        <v>316</v>
      </c>
      <c r="AM14" s="1" t="s">
        <v>175</v>
      </c>
      <c r="AN14" s="1" t="s">
        <v>148</v>
      </c>
      <c r="AP14" s="1" t="s">
        <v>148</v>
      </c>
      <c r="AQ14" s="1" t="s">
        <v>250</v>
      </c>
      <c r="AR14" s="1" t="s">
        <v>149</v>
      </c>
      <c r="AS14" s="1" t="s">
        <v>149</v>
      </c>
      <c r="AT14" s="1" t="s">
        <v>149</v>
      </c>
      <c r="AU14" s="1" t="s">
        <v>244</v>
      </c>
      <c r="AV14" s="1" t="s">
        <v>245</v>
      </c>
      <c r="AW14" s="1" t="s">
        <v>246</v>
      </c>
      <c r="AX14" s="1" t="s">
        <v>247</v>
      </c>
      <c r="BA14" s="1" t="s">
        <v>215</v>
      </c>
      <c r="BF14" s="1" t="s">
        <v>131</v>
      </c>
      <c r="BS14" s="1" t="s">
        <v>155</v>
      </c>
      <c r="BT14" s="1" t="s">
        <v>156</v>
      </c>
      <c r="BU14" s="1" t="s">
        <v>157</v>
      </c>
      <c r="BV14" s="1" t="s">
        <v>158</v>
      </c>
      <c r="BW14" s="1" t="s">
        <v>159</v>
      </c>
      <c r="BX14" s="1" t="s">
        <v>160</v>
      </c>
      <c r="BY14" s="1" t="s">
        <v>175</v>
      </c>
      <c r="BZ14" s="1" t="s">
        <v>161</v>
      </c>
      <c r="CA14" s="1" t="s">
        <v>162</v>
      </c>
      <c r="CB14" s="1" t="s">
        <v>318</v>
      </c>
      <c r="CC14" s="1" t="s">
        <v>163</v>
      </c>
      <c r="CD14" s="1" t="s">
        <v>319</v>
      </c>
      <c r="CE14" s="1" t="s">
        <v>164</v>
      </c>
      <c r="CO14" s="1" t="s">
        <v>277</v>
      </c>
      <c r="CP14" s="1" t="s">
        <v>278</v>
      </c>
      <c r="CQ14" s="1" t="s">
        <v>149</v>
      </c>
      <c r="CR14" s="1" t="s">
        <v>250</v>
      </c>
      <c r="CU14" s="1" t="s">
        <v>250</v>
      </c>
      <c r="CX14" s="1" t="s">
        <v>251</v>
      </c>
      <c r="CZ14" s="1" t="s">
        <v>149</v>
      </c>
      <c r="DI14" s="1" t="s">
        <v>252</v>
      </c>
    </row>
    <row r="15" spans="1:136" x14ac:dyDescent="0.3">
      <c r="A15" s="1" t="s">
        <v>279</v>
      </c>
      <c r="B15" s="1" t="s">
        <v>262</v>
      </c>
      <c r="C15" s="1" t="s">
        <v>222</v>
      </c>
      <c r="D15" s="2" t="str">
        <f t="shared" si="0"/>
        <v>RD00006/114</v>
      </c>
      <c r="F15" s="1" t="s">
        <v>222</v>
      </c>
      <c r="J15" s="1" t="s">
        <v>134</v>
      </c>
      <c r="K15" s="1" t="s">
        <v>135</v>
      </c>
      <c r="L15" s="1" t="s">
        <v>136</v>
      </c>
      <c r="M15" s="1" t="s">
        <v>223</v>
      </c>
      <c r="N15" s="1" t="s">
        <v>223</v>
      </c>
      <c r="O15" s="1" t="s">
        <v>224</v>
      </c>
      <c r="P15" s="1" t="s">
        <v>137</v>
      </c>
      <c r="Q15" s="1" t="s">
        <v>138</v>
      </c>
      <c r="R15" s="1" t="s">
        <v>139</v>
      </c>
      <c r="S15" s="1" t="s">
        <v>136</v>
      </c>
      <c r="T15" s="1" t="s">
        <v>201</v>
      </c>
      <c r="U15" s="1" t="s">
        <v>141</v>
      </c>
      <c r="V15" s="1" t="s">
        <v>142</v>
      </c>
      <c r="X15" s="1" t="s">
        <v>143</v>
      </c>
      <c r="Y15" s="1" t="s">
        <v>144</v>
      </c>
      <c r="Z15" s="1" t="s">
        <v>144</v>
      </c>
      <c r="AA15" s="1" t="s">
        <v>145</v>
      </c>
      <c r="AB15" s="1" t="s">
        <v>146</v>
      </c>
      <c r="AD15" s="1" t="s">
        <v>316</v>
      </c>
      <c r="AM15" s="1" t="s">
        <v>175</v>
      </c>
      <c r="AN15" s="1" t="s">
        <v>148</v>
      </c>
      <c r="AP15" s="1" t="s">
        <v>148</v>
      </c>
      <c r="AQ15" s="1" t="s">
        <v>256</v>
      </c>
      <c r="AR15" s="1" t="s">
        <v>149</v>
      </c>
      <c r="AS15" s="1" t="s">
        <v>149</v>
      </c>
      <c r="AT15" s="1" t="s">
        <v>149</v>
      </c>
      <c r="AU15" s="1" t="s">
        <v>211</v>
      </c>
      <c r="AV15" s="1" t="s">
        <v>212</v>
      </c>
      <c r="AW15" s="1" t="s">
        <v>225</v>
      </c>
      <c r="AX15" s="1" t="s">
        <v>226</v>
      </c>
      <c r="BA15" s="1" t="s">
        <v>227</v>
      </c>
      <c r="BF15" s="1" t="s">
        <v>131</v>
      </c>
      <c r="BS15" s="1" t="s">
        <v>155</v>
      </c>
      <c r="BT15" s="1" t="s">
        <v>156</v>
      </c>
      <c r="BU15" s="1" t="s">
        <v>157</v>
      </c>
      <c r="BV15" s="1" t="s">
        <v>158</v>
      </c>
      <c r="BW15" s="1" t="s">
        <v>159</v>
      </c>
      <c r="BX15" s="1" t="s">
        <v>160</v>
      </c>
      <c r="BY15" s="1" t="s">
        <v>175</v>
      </c>
      <c r="BZ15" s="1" t="s">
        <v>161</v>
      </c>
      <c r="CA15" s="1" t="s">
        <v>162</v>
      </c>
      <c r="CB15" s="1" t="s">
        <v>318</v>
      </c>
      <c r="CC15" s="1" t="s">
        <v>163</v>
      </c>
      <c r="CD15" s="1" t="s">
        <v>319</v>
      </c>
      <c r="CE15" s="1" t="s">
        <v>164</v>
      </c>
      <c r="CO15" s="1" t="s">
        <v>280</v>
      </c>
      <c r="CP15" s="1" t="s">
        <v>281</v>
      </c>
      <c r="CQ15" s="1" t="s">
        <v>149</v>
      </c>
      <c r="CR15" s="1" t="s">
        <v>256</v>
      </c>
      <c r="CU15" s="1" t="s">
        <v>256</v>
      </c>
      <c r="CX15" s="1" t="s">
        <v>257</v>
      </c>
      <c r="CZ15" s="1" t="s">
        <v>149</v>
      </c>
      <c r="DI15" s="1" t="s">
        <v>258</v>
      </c>
    </row>
    <row r="16" spans="1:136" x14ac:dyDescent="0.3">
      <c r="A16" s="1" t="s">
        <v>245</v>
      </c>
      <c r="B16" s="1" t="s">
        <v>282</v>
      </c>
      <c r="C16" s="1" t="s">
        <v>133</v>
      </c>
      <c r="D16" s="2" t="str">
        <f t="shared" si="0"/>
        <v>RD00009/115</v>
      </c>
      <c r="F16" s="1" t="s">
        <v>133</v>
      </c>
      <c r="J16" s="1" t="s">
        <v>134</v>
      </c>
      <c r="K16" s="1" t="s">
        <v>135</v>
      </c>
      <c r="L16" s="1" t="s">
        <v>136</v>
      </c>
      <c r="M16" s="1" t="s">
        <v>133</v>
      </c>
      <c r="N16" s="1" t="s">
        <v>133</v>
      </c>
      <c r="O16" s="1" t="s">
        <v>133</v>
      </c>
      <c r="P16" s="1" t="s">
        <v>137</v>
      </c>
      <c r="Q16" s="1" t="s">
        <v>138</v>
      </c>
      <c r="R16" s="1" t="s">
        <v>139</v>
      </c>
      <c r="S16" s="1" t="s">
        <v>136</v>
      </c>
      <c r="T16" s="1" t="s">
        <v>140</v>
      </c>
      <c r="U16" s="1" t="s">
        <v>141</v>
      </c>
      <c r="V16" s="1" t="s">
        <v>142</v>
      </c>
      <c r="X16" s="1" t="s">
        <v>143</v>
      </c>
      <c r="Y16" s="1" t="s">
        <v>144</v>
      </c>
      <c r="Z16" s="1" t="s">
        <v>144</v>
      </c>
      <c r="AA16" s="1" t="s">
        <v>145</v>
      </c>
      <c r="AB16" s="1" t="s">
        <v>146</v>
      </c>
      <c r="AD16" s="1" t="s">
        <v>316</v>
      </c>
      <c r="AM16" s="1" t="s">
        <v>175</v>
      </c>
      <c r="AN16" s="1" t="s">
        <v>148</v>
      </c>
      <c r="AP16" s="1" t="s">
        <v>148</v>
      </c>
      <c r="AQ16" s="1" t="s">
        <v>285</v>
      </c>
      <c r="AR16" s="1" t="s">
        <v>149</v>
      </c>
      <c r="AS16" s="1" t="s">
        <v>149</v>
      </c>
      <c r="AT16" s="1" t="s">
        <v>149</v>
      </c>
      <c r="AU16" s="1" t="s">
        <v>150</v>
      </c>
      <c r="AV16" s="1" t="s">
        <v>151</v>
      </c>
      <c r="AW16" s="1" t="s">
        <v>152</v>
      </c>
      <c r="AX16" s="1" t="s">
        <v>153</v>
      </c>
      <c r="BA16" s="1" t="s">
        <v>154</v>
      </c>
      <c r="BF16" s="1" t="s">
        <v>131</v>
      </c>
      <c r="BS16" s="1" t="s">
        <v>155</v>
      </c>
      <c r="BT16" s="1" t="s">
        <v>156</v>
      </c>
      <c r="BU16" s="1" t="s">
        <v>157</v>
      </c>
      <c r="BV16" s="1" t="s">
        <v>158</v>
      </c>
      <c r="BW16" s="1" t="s">
        <v>159</v>
      </c>
      <c r="BX16" s="1" t="s">
        <v>160</v>
      </c>
      <c r="BY16" s="1" t="s">
        <v>175</v>
      </c>
      <c r="BZ16" s="1" t="s">
        <v>161</v>
      </c>
      <c r="CA16" s="1" t="s">
        <v>162</v>
      </c>
      <c r="CB16" s="1" t="s">
        <v>318</v>
      </c>
      <c r="CC16" s="1" t="s">
        <v>163</v>
      </c>
      <c r="CD16" s="1" t="s">
        <v>319</v>
      </c>
      <c r="CE16" s="1" t="s">
        <v>164</v>
      </c>
      <c r="CO16" s="1" t="s">
        <v>283</v>
      </c>
      <c r="CP16" s="1" t="s">
        <v>284</v>
      </c>
      <c r="CQ16" s="1" t="s">
        <v>149</v>
      </c>
      <c r="CR16" s="1" t="s">
        <v>285</v>
      </c>
      <c r="CU16" s="1" t="s">
        <v>285</v>
      </c>
      <c r="CX16" s="1" t="s">
        <v>286</v>
      </c>
      <c r="CZ16" s="1" t="s">
        <v>149</v>
      </c>
      <c r="DI16" s="1" t="s">
        <v>287</v>
      </c>
    </row>
    <row r="17" spans="1:113" x14ac:dyDescent="0.3">
      <c r="A17" s="1" t="s">
        <v>288</v>
      </c>
      <c r="B17" s="1" t="s">
        <v>282</v>
      </c>
      <c r="C17" s="1" t="s">
        <v>222</v>
      </c>
      <c r="D17" s="2" t="str">
        <f t="shared" si="0"/>
        <v>RD00009/116</v>
      </c>
      <c r="F17" s="1" t="s">
        <v>222</v>
      </c>
      <c r="J17" s="1" t="s">
        <v>134</v>
      </c>
      <c r="K17" s="1" t="s">
        <v>135</v>
      </c>
      <c r="L17" s="1" t="s">
        <v>136</v>
      </c>
      <c r="M17" s="1" t="s">
        <v>223</v>
      </c>
      <c r="N17" s="1" t="s">
        <v>223</v>
      </c>
      <c r="O17" s="1" t="s">
        <v>224</v>
      </c>
      <c r="P17" s="1" t="s">
        <v>137</v>
      </c>
      <c r="Q17" s="1" t="s">
        <v>138</v>
      </c>
      <c r="R17" s="1" t="s">
        <v>139</v>
      </c>
      <c r="S17" s="1" t="s">
        <v>136</v>
      </c>
      <c r="T17" s="1" t="s">
        <v>201</v>
      </c>
      <c r="U17" s="1" t="s">
        <v>141</v>
      </c>
      <c r="V17" s="1" t="s">
        <v>142</v>
      </c>
      <c r="X17" s="1" t="s">
        <v>143</v>
      </c>
      <c r="Y17" s="1" t="s">
        <v>144</v>
      </c>
      <c r="Z17" s="1" t="s">
        <v>144</v>
      </c>
      <c r="AA17" s="1" t="s">
        <v>145</v>
      </c>
      <c r="AB17" s="1" t="s">
        <v>146</v>
      </c>
      <c r="AD17" s="1" t="s">
        <v>316</v>
      </c>
      <c r="AM17" s="1" t="s">
        <v>175</v>
      </c>
      <c r="AN17" s="1" t="s">
        <v>148</v>
      </c>
      <c r="AP17" s="1" t="s">
        <v>148</v>
      </c>
      <c r="AQ17" s="1" t="s">
        <v>256</v>
      </c>
      <c r="AR17" s="1" t="s">
        <v>149</v>
      </c>
      <c r="AS17" s="1" t="s">
        <v>149</v>
      </c>
      <c r="AT17" s="1" t="s">
        <v>149</v>
      </c>
      <c r="AU17" s="1" t="s">
        <v>211</v>
      </c>
      <c r="AV17" s="1" t="s">
        <v>212</v>
      </c>
      <c r="AW17" s="1" t="s">
        <v>225</v>
      </c>
      <c r="AX17" s="1" t="s">
        <v>226</v>
      </c>
      <c r="BA17" s="1" t="s">
        <v>227</v>
      </c>
      <c r="BF17" s="1" t="s">
        <v>131</v>
      </c>
      <c r="BS17" s="1" t="s">
        <v>155</v>
      </c>
      <c r="BT17" s="1" t="s">
        <v>156</v>
      </c>
      <c r="BU17" s="1" t="s">
        <v>157</v>
      </c>
      <c r="BV17" s="1" t="s">
        <v>158</v>
      </c>
      <c r="BW17" s="1" t="s">
        <v>159</v>
      </c>
      <c r="BX17" s="1" t="s">
        <v>160</v>
      </c>
      <c r="BY17" s="1" t="s">
        <v>175</v>
      </c>
      <c r="BZ17" s="1" t="s">
        <v>161</v>
      </c>
      <c r="CA17" s="1" t="s">
        <v>162</v>
      </c>
      <c r="CB17" s="1" t="s">
        <v>318</v>
      </c>
      <c r="CC17" s="1" t="s">
        <v>163</v>
      </c>
      <c r="CD17" s="1" t="s">
        <v>319</v>
      </c>
      <c r="CE17" s="1" t="s">
        <v>164</v>
      </c>
      <c r="CO17" s="1" t="s">
        <v>289</v>
      </c>
      <c r="CP17" s="1" t="s">
        <v>290</v>
      </c>
      <c r="CQ17" s="1" t="s">
        <v>149</v>
      </c>
      <c r="CR17" s="1" t="s">
        <v>256</v>
      </c>
      <c r="CU17" s="1" t="s">
        <v>256</v>
      </c>
      <c r="CX17" s="1" t="s">
        <v>257</v>
      </c>
      <c r="CZ17" s="1" t="s">
        <v>149</v>
      </c>
      <c r="DI17" s="1" t="s">
        <v>258</v>
      </c>
    </row>
    <row r="18" spans="1:113" x14ac:dyDescent="0.3">
      <c r="A18" s="1" t="s">
        <v>291</v>
      </c>
      <c r="B18" s="1" t="s">
        <v>292</v>
      </c>
      <c r="C18" s="1" t="s">
        <v>133</v>
      </c>
      <c r="D18" s="2" t="str">
        <f t="shared" si="0"/>
        <v>RD00010/117</v>
      </c>
      <c r="F18" s="1" t="s">
        <v>133</v>
      </c>
      <c r="J18" s="1" t="s">
        <v>134</v>
      </c>
      <c r="K18" s="1" t="s">
        <v>135</v>
      </c>
      <c r="L18" s="1" t="s">
        <v>136</v>
      </c>
      <c r="M18" s="1" t="s">
        <v>133</v>
      </c>
      <c r="N18" s="1" t="s">
        <v>133</v>
      </c>
      <c r="O18" s="1" t="s">
        <v>133</v>
      </c>
      <c r="P18" s="1" t="s">
        <v>137</v>
      </c>
      <c r="Q18" s="1" t="s">
        <v>138</v>
      </c>
      <c r="R18" s="1" t="s">
        <v>139</v>
      </c>
      <c r="S18" s="1" t="s">
        <v>136</v>
      </c>
      <c r="T18" s="1" t="s">
        <v>140</v>
      </c>
      <c r="U18" s="1" t="s">
        <v>141</v>
      </c>
      <c r="V18" s="1" t="s">
        <v>142</v>
      </c>
      <c r="X18" s="1" t="s">
        <v>143</v>
      </c>
      <c r="Y18" s="1" t="s">
        <v>144</v>
      </c>
      <c r="Z18" s="1" t="s">
        <v>144</v>
      </c>
      <c r="AA18" s="1" t="s">
        <v>145</v>
      </c>
      <c r="AB18" s="1" t="s">
        <v>146</v>
      </c>
      <c r="AD18" s="1" t="s">
        <v>316</v>
      </c>
      <c r="AM18" s="1" t="s">
        <v>175</v>
      </c>
      <c r="AN18" s="1" t="s">
        <v>148</v>
      </c>
      <c r="AP18" s="1" t="s">
        <v>148</v>
      </c>
      <c r="AQ18" s="1" t="s">
        <v>295</v>
      </c>
      <c r="AR18" s="1" t="s">
        <v>149</v>
      </c>
      <c r="AS18" s="1" t="s">
        <v>149</v>
      </c>
      <c r="AT18" s="1" t="s">
        <v>149</v>
      </c>
      <c r="AU18" s="1" t="s">
        <v>150</v>
      </c>
      <c r="AV18" s="1" t="s">
        <v>151</v>
      </c>
      <c r="AW18" s="1" t="s">
        <v>152</v>
      </c>
      <c r="AX18" s="1" t="s">
        <v>153</v>
      </c>
      <c r="BA18" s="1" t="s">
        <v>154</v>
      </c>
      <c r="BF18" s="1" t="s">
        <v>131</v>
      </c>
      <c r="BS18" s="1" t="s">
        <v>155</v>
      </c>
      <c r="BT18" s="1" t="s">
        <v>156</v>
      </c>
      <c r="BU18" s="1" t="s">
        <v>157</v>
      </c>
      <c r="BV18" s="1" t="s">
        <v>158</v>
      </c>
      <c r="BW18" s="1" t="s">
        <v>159</v>
      </c>
      <c r="BX18" s="1" t="s">
        <v>160</v>
      </c>
      <c r="BY18" s="1" t="s">
        <v>175</v>
      </c>
      <c r="BZ18" s="1" t="s">
        <v>161</v>
      </c>
      <c r="CA18" s="1" t="s">
        <v>162</v>
      </c>
      <c r="CB18" s="1" t="s">
        <v>318</v>
      </c>
      <c r="CC18" s="1" t="s">
        <v>163</v>
      </c>
      <c r="CD18" s="1" t="s">
        <v>319</v>
      </c>
      <c r="CE18" s="1" t="s">
        <v>164</v>
      </c>
      <c r="CO18" s="1" t="s">
        <v>293</v>
      </c>
      <c r="CP18" s="1" t="s">
        <v>294</v>
      </c>
      <c r="CQ18" s="1" t="s">
        <v>149</v>
      </c>
      <c r="CR18" s="1" t="s">
        <v>295</v>
      </c>
      <c r="CU18" s="1" t="s">
        <v>295</v>
      </c>
      <c r="CX18" s="1" t="s">
        <v>296</v>
      </c>
      <c r="CZ18" s="1" t="s">
        <v>149</v>
      </c>
      <c r="DI18" s="1" t="s">
        <v>297</v>
      </c>
    </row>
    <row r="19" spans="1:113" x14ac:dyDescent="0.3">
      <c r="A19" s="1" t="s">
        <v>298</v>
      </c>
      <c r="B19" s="1" t="s">
        <v>292</v>
      </c>
      <c r="C19" s="1" t="s">
        <v>241</v>
      </c>
      <c r="D19" s="2" t="str">
        <f t="shared" si="0"/>
        <v>RD00010/118</v>
      </c>
      <c r="F19" s="1" t="s">
        <v>241</v>
      </c>
      <c r="J19" s="1" t="s">
        <v>134</v>
      </c>
      <c r="K19" s="1" t="s">
        <v>135</v>
      </c>
      <c r="L19" s="1" t="s">
        <v>136</v>
      </c>
      <c r="M19" s="1" t="s">
        <v>242</v>
      </c>
      <c r="N19" s="1" t="s">
        <v>242</v>
      </c>
      <c r="O19" s="1" t="s">
        <v>243</v>
      </c>
      <c r="P19" s="1" t="s">
        <v>137</v>
      </c>
      <c r="Q19" s="1" t="s">
        <v>138</v>
      </c>
      <c r="R19" s="1" t="s">
        <v>139</v>
      </c>
      <c r="S19" s="1" t="s">
        <v>186</v>
      </c>
      <c r="T19" s="1" t="s">
        <v>186</v>
      </c>
      <c r="U19" s="1" t="s">
        <v>141</v>
      </c>
      <c r="V19" s="1" t="s">
        <v>142</v>
      </c>
      <c r="X19" s="1" t="s">
        <v>143</v>
      </c>
      <c r="Y19" s="1" t="s">
        <v>144</v>
      </c>
      <c r="Z19" s="1" t="s">
        <v>144</v>
      </c>
      <c r="AA19" s="1" t="s">
        <v>145</v>
      </c>
      <c r="AB19" s="1" t="s">
        <v>146</v>
      </c>
      <c r="AD19" s="1" t="s">
        <v>316</v>
      </c>
      <c r="AM19" s="1" t="s">
        <v>175</v>
      </c>
      <c r="AN19" s="1" t="s">
        <v>148</v>
      </c>
      <c r="AP19" s="1" t="s">
        <v>148</v>
      </c>
      <c r="AQ19" s="1" t="s">
        <v>250</v>
      </c>
      <c r="AR19" s="1" t="s">
        <v>149</v>
      </c>
      <c r="AS19" s="1" t="s">
        <v>149</v>
      </c>
      <c r="AT19" s="1" t="s">
        <v>149</v>
      </c>
      <c r="AU19" s="1" t="s">
        <v>244</v>
      </c>
      <c r="AV19" s="1" t="s">
        <v>245</v>
      </c>
      <c r="AW19" s="1" t="s">
        <v>246</v>
      </c>
      <c r="AX19" s="1" t="s">
        <v>247</v>
      </c>
      <c r="BA19" s="1" t="s">
        <v>215</v>
      </c>
      <c r="BF19" s="1" t="s">
        <v>131</v>
      </c>
      <c r="BS19" s="1" t="s">
        <v>155</v>
      </c>
      <c r="BT19" s="1" t="s">
        <v>156</v>
      </c>
      <c r="BU19" s="1" t="s">
        <v>157</v>
      </c>
      <c r="BV19" s="1" t="s">
        <v>158</v>
      </c>
      <c r="BW19" s="1" t="s">
        <v>159</v>
      </c>
      <c r="BX19" s="1" t="s">
        <v>160</v>
      </c>
      <c r="BY19" s="1" t="s">
        <v>175</v>
      </c>
      <c r="BZ19" s="1" t="s">
        <v>161</v>
      </c>
      <c r="CA19" s="1" t="s">
        <v>162</v>
      </c>
      <c r="CB19" s="1" t="s">
        <v>318</v>
      </c>
      <c r="CC19" s="1" t="s">
        <v>163</v>
      </c>
      <c r="CD19" s="1" t="s">
        <v>319</v>
      </c>
      <c r="CE19" s="1" t="s">
        <v>164</v>
      </c>
      <c r="CO19" s="1" t="s">
        <v>299</v>
      </c>
      <c r="CP19" s="1" t="s">
        <v>300</v>
      </c>
      <c r="CQ19" s="1" t="s">
        <v>149</v>
      </c>
      <c r="CR19" s="1" t="s">
        <v>250</v>
      </c>
      <c r="CU19" s="1" t="s">
        <v>250</v>
      </c>
      <c r="CX19" s="1" t="s">
        <v>251</v>
      </c>
      <c r="CZ19" s="1" t="s">
        <v>149</v>
      </c>
      <c r="DI19" s="1" t="s">
        <v>252</v>
      </c>
    </row>
    <row r="20" spans="1:113" x14ac:dyDescent="0.3">
      <c r="A20" s="1" t="s">
        <v>301</v>
      </c>
      <c r="B20" s="1" t="s">
        <v>292</v>
      </c>
      <c r="C20" s="1" t="s">
        <v>222</v>
      </c>
      <c r="D20" s="2" t="str">
        <f t="shared" si="0"/>
        <v>RD00010/119</v>
      </c>
      <c r="F20" s="1" t="s">
        <v>222</v>
      </c>
      <c r="J20" s="1" t="s">
        <v>134</v>
      </c>
      <c r="K20" s="1" t="s">
        <v>135</v>
      </c>
      <c r="L20" s="1" t="s">
        <v>136</v>
      </c>
      <c r="M20" s="1" t="s">
        <v>223</v>
      </c>
      <c r="N20" s="1" t="s">
        <v>223</v>
      </c>
      <c r="O20" s="1" t="s">
        <v>224</v>
      </c>
      <c r="P20" s="1" t="s">
        <v>137</v>
      </c>
      <c r="Q20" s="1" t="s">
        <v>138</v>
      </c>
      <c r="R20" s="1" t="s">
        <v>139</v>
      </c>
      <c r="S20" s="1" t="s">
        <v>136</v>
      </c>
      <c r="T20" s="1" t="s">
        <v>201</v>
      </c>
      <c r="U20" s="1" t="s">
        <v>141</v>
      </c>
      <c r="V20" s="1" t="s">
        <v>142</v>
      </c>
      <c r="X20" s="1" t="s">
        <v>143</v>
      </c>
      <c r="Y20" s="1" t="s">
        <v>144</v>
      </c>
      <c r="Z20" s="1" t="s">
        <v>144</v>
      </c>
      <c r="AA20" s="1" t="s">
        <v>145</v>
      </c>
      <c r="AB20" s="1" t="s">
        <v>146</v>
      </c>
      <c r="AD20" s="1" t="s">
        <v>316</v>
      </c>
      <c r="AM20" s="1" t="s">
        <v>210</v>
      </c>
      <c r="AN20" s="1" t="s">
        <v>148</v>
      </c>
      <c r="AP20" s="1" t="s">
        <v>148</v>
      </c>
      <c r="AQ20" s="1" t="s">
        <v>304</v>
      </c>
      <c r="AR20" s="1" t="s">
        <v>149</v>
      </c>
      <c r="AS20" s="1" t="s">
        <v>149</v>
      </c>
      <c r="AT20" s="1" t="s">
        <v>149</v>
      </c>
      <c r="AU20" s="1" t="s">
        <v>211</v>
      </c>
      <c r="AV20" s="1" t="s">
        <v>212</v>
      </c>
      <c r="AW20" s="1" t="s">
        <v>225</v>
      </c>
      <c r="AX20" s="1" t="s">
        <v>226</v>
      </c>
      <c r="BA20" s="1" t="s">
        <v>227</v>
      </c>
      <c r="BF20" s="1" t="s">
        <v>131</v>
      </c>
      <c r="BS20" s="1" t="s">
        <v>155</v>
      </c>
      <c r="BT20" s="1" t="s">
        <v>156</v>
      </c>
      <c r="BU20" s="1" t="s">
        <v>157</v>
      </c>
      <c r="BV20" s="1" t="s">
        <v>158</v>
      </c>
      <c r="BW20" s="1" t="s">
        <v>159</v>
      </c>
      <c r="BX20" s="1" t="s">
        <v>160</v>
      </c>
      <c r="BY20" s="1" t="s">
        <v>210</v>
      </c>
      <c r="BZ20" s="1" t="s">
        <v>161</v>
      </c>
      <c r="CA20" s="1" t="s">
        <v>162</v>
      </c>
      <c r="CB20" s="1" t="s">
        <v>318</v>
      </c>
      <c r="CC20" s="1" t="s">
        <v>163</v>
      </c>
      <c r="CD20" s="1" t="s">
        <v>319</v>
      </c>
      <c r="CE20" s="1" t="s">
        <v>164</v>
      </c>
      <c r="CO20" s="1" t="s">
        <v>302</v>
      </c>
      <c r="CP20" s="1" t="s">
        <v>303</v>
      </c>
      <c r="CQ20" s="1" t="s">
        <v>149</v>
      </c>
      <c r="CR20" s="1" t="s">
        <v>304</v>
      </c>
      <c r="CU20" s="1" t="s">
        <v>304</v>
      </c>
      <c r="CX20" s="1" t="s">
        <v>305</v>
      </c>
      <c r="CZ20" s="1" t="s">
        <v>149</v>
      </c>
      <c r="DI20" s="1" t="s">
        <v>306</v>
      </c>
    </row>
    <row r="21" spans="1:113" x14ac:dyDescent="0.3">
      <c r="A21" s="1" t="s">
        <v>188</v>
      </c>
      <c r="B21" s="1" t="s">
        <v>197</v>
      </c>
      <c r="C21" s="1" t="s">
        <v>133</v>
      </c>
      <c r="D21" s="2" t="str">
        <f t="shared" si="0"/>
        <v>RD00011/120</v>
      </c>
      <c r="F21" s="1" t="s">
        <v>133</v>
      </c>
      <c r="J21" s="1" t="s">
        <v>134</v>
      </c>
      <c r="K21" s="1" t="s">
        <v>135</v>
      </c>
      <c r="L21" s="1" t="s">
        <v>136</v>
      </c>
      <c r="M21" s="1" t="s">
        <v>133</v>
      </c>
      <c r="N21" s="1" t="s">
        <v>133</v>
      </c>
      <c r="O21" s="1" t="s">
        <v>133</v>
      </c>
      <c r="P21" s="1" t="s">
        <v>137</v>
      </c>
      <c r="Q21" s="1" t="s">
        <v>138</v>
      </c>
      <c r="R21" s="1" t="s">
        <v>139</v>
      </c>
      <c r="S21" s="1" t="s">
        <v>136</v>
      </c>
      <c r="T21" s="1" t="s">
        <v>140</v>
      </c>
      <c r="U21" s="1" t="s">
        <v>141</v>
      </c>
      <c r="V21" s="1" t="s">
        <v>142</v>
      </c>
      <c r="X21" s="1" t="s">
        <v>143</v>
      </c>
      <c r="Y21" s="1" t="s">
        <v>144</v>
      </c>
      <c r="Z21" s="1" t="s">
        <v>144</v>
      </c>
      <c r="AA21" s="1" t="s">
        <v>145</v>
      </c>
      <c r="AB21" s="1" t="s">
        <v>146</v>
      </c>
      <c r="AD21" s="1" t="s">
        <v>316</v>
      </c>
      <c r="AM21" s="1" t="s">
        <v>175</v>
      </c>
      <c r="AN21" s="1" t="s">
        <v>148</v>
      </c>
      <c r="AP21" s="1" t="s">
        <v>148</v>
      </c>
      <c r="AQ21" s="1" t="s">
        <v>309</v>
      </c>
      <c r="AR21" s="1" t="s">
        <v>149</v>
      </c>
      <c r="AS21" s="1" t="s">
        <v>149</v>
      </c>
      <c r="AT21" s="1" t="s">
        <v>149</v>
      </c>
      <c r="AU21" s="1" t="s">
        <v>150</v>
      </c>
      <c r="AV21" s="1" t="s">
        <v>151</v>
      </c>
      <c r="AW21" s="1" t="s">
        <v>152</v>
      </c>
      <c r="AX21" s="1" t="s">
        <v>153</v>
      </c>
      <c r="BA21" s="1" t="s">
        <v>154</v>
      </c>
      <c r="BF21" s="1" t="s">
        <v>131</v>
      </c>
      <c r="BS21" s="1" t="s">
        <v>155</v>
      </c>
      <c r="BT21" s="1" t="s">
        <v>156</v>
      </c>
      <c r="BU21" s="1" t="s">
        <v>157</v>
      </c>
      <c r="BV21" s="1" t="s">
        <v>158</v>
      </c>
      <c r="BW21" s="1" t="s">
        <v>159</v>
      </c>
      <c r="BX21" s="1" t="s">
        <v>160</v>
      </c>
      <c r="BY21" s="1" t="s">
        <v>175</v>
      </c>
      <c r="BZ21" s="1" t="s">
        <v>161</v>
      </c>
      <c r="CA21" s="1" t="s">
        <v>162</v>
      </c>
      <c r="CB21" s="1" t="s">
        <v>318</v>
      </c>
      <c r="CC21" s="1" t="s">
        <v>163</v>
      </c>
      <c r="CD21" s="1" t="s">
        <v>319</v>
      </c>
      <c r="CE21" s="1" t="s">
        <v>164</v>
      </c>
      <c r="CO21" s="1" t="s">
        <v>307</v>
      </c>
      <c r="CP21" s="1" t="s">
        <v>308</v>
      </c>
      <c r="CQ21" s="1" t="s">
        <v>149</v>
      </c>
      <c r="CR21" s="1" t="s">
        <v>309</v>
      </c>
      <c r="CU21" s="1" t="s">
        <v>309</v>
      </c>
      <c r="CX21" s="1" t="s">
        <v>310</v>
      </c>
      <c r="CZ21" s="1" t="s">
        <v>149</v>
      </c>
      <c r="DI21" s="1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Roads Infrastructure2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Marais</dc:creator>
  <cp:lastModifiedBy>Pieter Marais</cp:lastModifiedBy>
  <dcterms:created xsi:type="dcterms:W3CDTF">2024-02-28T10:20:57Z</dcterms:created>
  <dcterms:modified xsi:type="dcterms:W3CDTF">2026-03-31T09:49:37Z</dcterms:modified>
</cp:coreProperties>
</file>