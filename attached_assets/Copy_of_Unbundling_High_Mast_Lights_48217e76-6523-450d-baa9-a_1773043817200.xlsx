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onica.visser\Desktop\A_Demo March 2019\ASSETS\A_ User Story Tests\Unbundeling\"/>
    </mc:Choice>
  </mc:AlternateContent>
  <xr:revisionPtr revIDLastSave="0" documentId="13_ncr:1_{643317DC-923D-40B6-99A5-C98BE4DA3356}" xr6:coauthVersionLast="36" xr6:coauthVersionMax="36" xr10:uidLastSave="{00000000-0000-0000-0000-000000000000}"/>
  <bookViews>
    <workbookView xWindow="480" yWindow="330" windowWidth="19875" windowHeight="7725" xr2:uid="{00000000-000D-0000-FFFF-FFFF00000000}"/>
  </bookViews>
  <sheets>
    <sheet name="UnbundleCosting" sheetId="1" r:id="rId1"/>
    <sheet name="Finance_Invoices" sheetId="2" r:id="rId2"/>
    <sheet name="Values F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1" i="2" l="1"/>
  <c r="K36" i="1" l="1"/>
  <c r="G11" i="2"/>
  <c r="M5" i="1" l="1"/>
  <c r="L5" i="1"/>
  <c r="K5" i="1"/>
  <c r="H66" i="3"/>
  <c r="H44" i="3"/>
  <c r="H22" i="3"/>
  <c r="D3" i="1"/>
  <c r="J28" i="1"/>
  <c r="O28" i="1" s="1"/>
  <c r="J27" i="1"/>
  <c r="O27" i="1" s="1"/>
  <c r="L19" i="1"/>
  <c r="O19" i="1" s="1"/>
  <c r="J17" i="1"/>
  <c r="O17" i="1" s="1"/>
  <c r="G31" i="1"/>
  <c r="I14" i="1"/>
  <c r="O14" i="1" s="1"/>
  <c r="M23" i="1"/>
  <c r="O23" i="1" s="1"/>
  <c r="J30" i="1"/>
  <c r="O30" i="1" s="1"/>
  <c r="J29" i="1"/>
  <c r="O29" i="1" s="1"/>
  <c r="O26" i="1"/>
  <c r="O25" i="1"/>
  <c r="J24" i="1"/>
  <c r="O24" i="1" s="1"/>
  <c r="M22" i="1"/>
  <c r="L21" i="1"/>
  <c r="O21" i="1" s="1"/>
  <c r="L20" i="1"/>
  <c r="O20" i="1" s="1"/>
  <c r="K18" i="1"/>
  <c r="O18" i="1" s="1"/>
  <c r="O15" i="1"/>
  <c r="I13" i="1"/>
  <c r="O13" i="1" s="1"/>
  <c r="L16" i="1" l="1"/>
  <c r="O16" i="1" s="1"/>
  <c r="D4" i="1"/>
  <c r="D5" i="1" s="1"/>
  <c r="M31" i="1"/>
  <c r="K31" i="1"/>
  <c r="J31" i="1"/>
  <c r="J32" i="1" s="1"/>
  <c r="L31" i="1"/>
  <c r="O22" i="1"/>
  <c r="I31" i="1"/>
  <c r="M32" i="1" l="1"/>
  <c r="M33" i="1" s="1"/>
  <c r="L32" i="1"/>
  <c r="L33" i="1" s="1"/>
  <c r="N31" i="1"/>
  <c r="O31" i="1" s="1"/>
  <c r="I33" i="1"/>
  <c r="K32" i="1"/>
  <c r="K33" i="1" s="1"/>
  <c r="J33" i="1"/>
  <c r="J35" i="1" s="1"/>
  <c r="K34" i="1" l="1"/>
  <c r="K35" i="1" s="1"/>
  <c r="L34" i="1"/>
  <c r="L35" i="1" s="1"/>
  <c r="N33" i="1"/>
  <c r="I34" i="1"/>
  <c r="N32" i="1"/>
  <c r="M34" i="1"/>
  <c r="M35" i="1" s="1"/>
  <c r="L4" i="1" l="1"/>
  <c r="L36" i="1"/>
  <c r="K4" i="1"/>
  <c r="N34" i="1"/>
  <c r="I35" i="1"/>
  <c r="N35" i="1" s="1"/>
  <c r="M36" i="1"/>
  <c r="M4" i="1"/>
  <c r="M3" i="1" l="1"/>
  <c r="K27" i="3"/>
  <c r="K35" i="3"/>
  <c r="K43" i="3"/>
  <c r="K28" i="3"/>
  <c r="K36" i="3"/>
  <c r="K29" i="3"/>
  <c r="K37" i="3"/>
  <c r="K30" i="3"/>
  <c r="K38" i="3"/>
  <c r="K31" i="3"/>
  <c r="K39" i="3"/>
  <c r="K32" i="3"/>
  <c r="K40" i="3"/>
  <c r="K24" i="3"/>
  <c r="K25" i="3"/>
  <c r="K33" i="3"/>
  <c r="K41" i="3"/>
  <c r="K26" i="3"/>
  <c r="K34" i="3"/>
  <c r="K42" i="3"/>
  <c r="K3" i="1"/>
  <c r="K52" i="3"/>
  <c r="K60" i="3"/>
  <c r="K53" i="3"/>
  <c r="K61" i="3"/>
  <c r="K54" i="3"/>
  <c r="K62" i="3"/>
  <c r="K47" i="3"/>
  <c r="K55" i="3"/>
  <c r="K63" i="3"/>
  <c r="K48" i="3"/>
  <c r="K56" i="3"/>
  <c r="K64" i="3"/>
  <c r="K46" i="3"/>
  <c r="K49" i="3"/>
  <c r="K57" i="3"/>
  <c r="K65" i="3"/>
  <c r="K50" i="3"/>
  <c r="K58" i="3"/>
  <c r="K51" i="3"/>
  <c r="K59" i="3"/>
  <c r="L3" i="1"/>
  <c r="N3" i="1" s="1"/>
  <c r="O3" i="1" s="1"/>
  <c r="K10" i="3"/>
  <c r="K18" i="3"/>
  <c r="K3" i="3"/>
  <c r="K11" i="3"/>
  <c r="K19" i="3"/>
  <c r="K4" i="3"/>
  <c r="K12" i="3"/>
  <c r="K20" i="3"/>
  <c r="K5" i="3"/>
  <c r="K13" i="3"/>
  <c r="K21" i="3"/>
  <c r="K6" i="3"/>
  <c r="K14" i="3"/>
  <c r="K7" i="3"/>
  <c r="K15" i="3"/>
  <c r="K8" i="3"/>
  <c r="K16" i="3"/>
  <c r="K2" i="3"/>
  <c r="K9" i="3"/>
  <c r="K17" i="3"/>
  <c r="K44" i="3" l="1"/>
  <c r="L44" i="3" s="1"/>
  <c r="K22" i="3"/>
  <c r="L22" i="3" s="1"/>
  <c r="K66" i="3"/>
  <c r="L66" i="3" s="1"/>
</calcChain>
</file>

<file path=xl/sharedStrings.xml><?xml version="1.0" encoding="utf-8"?>
<sst xmlns="http://schemas.openxmlformats.org/spreadsheetml/2006/main" count="450" uniqueCount="102">
  <si>
    <t>Financial System Spend</t>
  </si>
  <si>
    <t>Financial Spending</t>
  </si>
  <si>
    <t>Bill of Quantities</t>
  </si>
  <si>
    <t>Actual Unit Cost</t>
  </si>
  <si>
    <t>Ratio</t>
  </si>
  <si>
    <t>Actual Survey</t>
  </si>
  <si>
    <t>BoQ</t>
  </si>
  <si>
    <t>Unit</t>
  </si>
  <si>
    <t>ea</t>
  </si>
  <si>
    <t>ITEM NO</t>
  </si>
  <si>
    <t>PAYMENT REFERS</t>
  </si>
  <si>
    <t xml:space="preserve">ITEM DESCRIPTION </t>
  </si>
  <si>
    <t>AMOUNT TENDERED</t>
  </si>
  <si>
    <t>P &amp; G</t>
  </si>
  <si>
    <t>General</t>
  </si>
  <si>
    <t>High Mast Light</t>
  </si>
  <si>
    <t>UNIT</t>
  </si>
  <si>
    <t>QUANTITY</t>
  </si>
  <si>
    <t>RATE</t>
  </si>
  <si>
    <t>AMOUNT</t>
  </si>
  <si>
    <t>Plynth</t>
  </si>
  <si>
    <t>Mast</t>
  </si>
  <si>
    <t>Light</t>
  </si>
  <si>
    <t>Schedule 1</t>
  </si>
  <si>
    <t>PRELIMINARY &amp; GENERAL</t>
  </si>
  <si>
    <t>PC SUM</t>
  </si>
  <si>
    <t>Supply, Installation, testing and commissioning of Mast Structures</t>
  </si>
  <si>
    <t>Supply of 3-rope hoisting Highlight mast with brackets and foundation bolts ex works</t>
  </si>
  <si>
    <t>EA</t>
  </si>
  <si>
    <t>Mast internal glass fibre IP30 Db with photo cell, IP65 Splitterbox and 5core x 2,5mm training cable (No surge protection)</t>
  </si>
  <si>
    <t xml:space="preserve">EA </t>
  </si>
  <si>
    <t>Concrete foundation complete with soil and concrete cube tests</t>
  </si>
  <si>
    <r>
      <t>Earthing: Supply and Install Sectionalpoles standard system consisting of 2x2.1m earth spikes complete with 2 x 70 mm</t>
    </r>
    <r>
      <rPr>
        <sz val="11"/>
        <color theme="1"/>
        <rFont val="Calibri"/>
        <family val="2"/>
      </rPr>
      <t>² copper conductor wih 2x brass clamps</t>
    </r>
  </si>
  <si>
    <t>Delivery of masts to site (Per Load)</t>
  </si>
  <si>
    <t>Assemble and erection of mast (By supplier to ensure mast Guarantee)</t>
  </si>
  <si>
    <t>Luminaires complete with lamp</t>
  </si>
  <si>
    <t>Mounting and wiring of luminaires per mast (assuming light fittingd are on site abd aiming angles provided before hand)</t>
  </si>
  <si>
    <t>Electrical Connections</t>
  </si>
  <si>
    <t>sum</t>
  </si>
  <si>
    <t>Servicing Equipment (1 set per site is recommended)</t>
  </si>
  <si>
    <t xml:space="preserve">Single drum which complete with stainless steel rope and winch </t>
  </si>
  <si>
    <t>Hydrualic powertool with remote control</t>
  </si>
  <si>
    <t>Test lead - in order to test operation of lights if mast is lowered</t>
  </si>
  <si>
    <t>Negotiations and application to supply authorities</t>
  </si>
  <si>
    <t>Distribute General Values</t>
  </si>
  <si>
    <t>Distribute P &amp; G</t>
  </si>
  <si>
    <t>Unit Cost on BoQ</t>
  </si>
  <si>
    <t xml:space="preserve">Preliminary &amp; General </t>
  </si>
  <si>
    <t>Retention</t>
  </si>
  <si>
    <t xml:space="preserve">Sundry Payments                    </t>
  </si>
  <si>
    <t xml:space="preserve">Cashed    </t>
  </si>
  <si>
    <t xml:space="preserve">RJJ PROJECT MANAGEMENT (PTY)LTD                             </t>
  </si>
  <si>
    <t xml:space="preserve">Cheque No : 16459 Bank No : 777                             </t>
  </si>
  <si>
    <t xml:space="preserve">RJJ PROJECT MANAGEMENT (PTY)LTD                   </t>
  </si>
  <si>
    <t xml:space="preserve">INGPLAN CONSULTING ENGINEERS (PTY)LTD                       </t>
  </si>
  <si>
    <t xml:space="preserve">Cheque No : 16682 Bank No : 777                             </t>
  </si>
  <si>
    <t xml:space="preserve">INGPLAN CONSULTING ENGINEERS (PTY)LTD             </t>
  </si>
  <si>
    <t xml:space="preserve">Cheque No : 16685 Bank No : 777                             </t>
  </si>
  <si>
    <t xml:space="preserve">Cheque No : 17367 Bank No : 777                             </t>
  </si>
  <si>
    <t xml:space="preserve">Ledger Journals                    </t>
  </si>
  <si>
    <t xml:space="preserve">   </t>
  </si>
  <si>
    <t xml:space="preserve">        </t>
  </si>
  <si>
    <t xml:space="preserve">               </t>
  </si>
  <si>
    <t xml:space="preserve">          </t>
  </si>
  <si>
    <t xml:space="preserve">                                                  </t>
  </si>
  <si>
    <t xml:space="preserve">CORRECTION OF EXPENDITURE TO CORRECTED VOTES                </t>
  </si>
  <si>
    <t>Period</t>
  </si>
  <si>
    <t xml:space="preserve">Votenumber          </t>
  </si>
  <si>
    <t xml:space="preserve">Vote Description                        </t>
  </si>
  <si>
    <t xml:space="preserve">Transaction Type                   </t>
  </si>
  <si>
    <t xml:space="preserve">Reference     </t>
  </si>
  <si>
    <t>TranDate</t>
  </si>
  <si>
    <t xml:space="preserve">Debit Amt     </t>
  </si>
  <si>
    <t xml:space="preserve">Credit Amt    </t>
  </si>
  <si>
    <t xml:space="preserve">Transaction Description                                     </t>
  </si>
  <si>
    <t xml:space="preserve">Originating Description                                     </t>
  </si>
  <si>
    <t>Bnk</t>
  </si>
  <si>
    <t xml:space="preserve">Cheque  </t>
  </si>
  <si>
    <t xml:space="preserve">Cheque Amt     </t>
  </si>
  <si>
    <t xml:space="preserve">Status    </t>
  </si>
  <si>
    <t xml:space="preserve">Payee                                             </t>
  </si>
  <si>
    <t>ComponentId</t>
  </si>
  <si>
    <t>Asset</t>
  </si>
  <si>
    <t>Component</t>
  </si>
  <si>
    <t>EUL</t>
  </si>
  <si>
    <t>Financial_Status</t>
  </si>
  <si>
    <t>Description</t>
  </si>
  <si>
    <t>Project_Name</t>
  </si>
  <si>
    <t>length_qty</t>
  </si>
  <si>
    <t>width</t>
  </si>
  <si>
    <t>area</t>
  </si>
  <si>
    <t>AQC</t>
  </si>
  <si>
    <t>High Mast</t>
  </si>
  <si>
    <t>ADD</t>
  </si>
  <si>
    <t>30 m Steel  High Mast</t>
  </si>
  <si>
    <t>Lekwa Teemane High Mast Lights Phase 2</t>
  </si>
  <si>
    <t>Concrete Plynth for High Mast</t>
  </si>
  <si>
    <t>9  Lights</t>
  </si>
  <si>
    <t>Thaba Chweu Municipality Mast Lights Project</t>
  </si>
  <si>
    <t>Project Code</t>
  </si>
  <si>
    <t>___________________________________________________</t>
  </si>
  <si>
    <t xml:space="preserve">PLANT AND EQUIPMENT(HIGH MAST LIGHT 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</si>
</sst>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&quot;R&quot;\ * #,##0.00_ ;_ &quot;R&quot;\ * \-#,##0.00_ ;_ &quot;R&quot;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0" fillId="0" borderId="0" xfId="1" applyFont="1"/>
    <xf numFmtId="4" fontId="0" fillId="0" borderId="0" xfId="0" applyNumberFormat="1" applyFont="1" applyAlignment="1">
      <alignment horizontal="center" vertical="center"/>
    </xf>
    <xf numFmtId="4" fontId="5" fillId="0" borderId="0" xfId="0" applyNumberFormat="1" applyFont="1"/>
    <xf numFmtId="164" fontId="6" fillId="0" borderId="0" xfId="0" applyNumberFormat="1" applyFont="1"/>
    <xf numFmtId="4" fontId="0" fillId="0" borderId="0" xfId="1" applyNumberFormat="1" applyFont="1" applyAlignment="1">
      <alignment horizontal="center" vertical="center"/>
    </xf>
    <xf numFmtId="0" fontId="4" fillId="2" borderId="0" xfId="0" applyFont="1" applyFill="1"/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4" fillId="3" borderId="0" xfId="0" applyFont="1" applyFill="1"/>
    <xf numFmtId="0" fontId="0" fillId="3" borderId="0" xfId="0" applyFont="1" applyFill="1"/>
    <xf numFmtId="0" fontId="0" fillId="3" borderId="0" xfId="0" applyFont="1" applyFill="1" applyAlignment="1">
      <alignment horizontal="center" vertical="center"/>
    </xf>
    <xf numFmtId="0" fontId="4" fillId="4" borderId="0" xfId="0" applyFont="1" applyFill="1"/>
    <xf numFmtId="0" fontId="0" fillId="4" borderId="0" xfId="0" applyFont="1" applyFill="1"/>
    <xf numFmtId="0" fontId="0" fillId="4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" fontId="0" fillId="5" borderId="5" xfId="0" applyNumberFormat="1" applyFont="1" applyFill="1" applyBorder="1" applyAlignment="1">
      <alignment vertical="center"/>
    </xf>
    <xf numFmtId="0" fontId="0" fillId="0" borderId="5" xfId="0" applyFont="1" applyBorder="1"/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164" fontId="0" fillId="0" borderId="5" xfId="1" applyFont="1" applyBorder="1" applyAlignment="1">
      <alignment vertical="center"/>
    </xf>
    <xf numFmtId="164" fontId="0" fillId="5" borderId="5" xfId="1" applyFont="1" applyFill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165" fontId="2" fillId="0" borderId="0" xfId="0" applyNumberFormat="1" applyFont="1"/>
    <xf numFmtId="164" fontId="2" fillId="0" borderId="0" xfId="0" applyNumberFormat="1" applyFont="1" applyAlignment="1">
      <alignment vertical="center"/>
    </xf>
    <xf numFmtId="164" fontId="5" fillId="0" borderId="0" xfId="0" applyNumberFormat="1" applyFont="1"/>
    <xf numFmtId="0" fontId="9" fillId="0" borderId="0" xfId="0" applyFont="1" applyBorder="1"/>
    <xf numFmtId="0" fontId="0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0" fillId="0" borderId="0" xfId="1" applyFont="1" applyAlignment="1">
      <alignment vertical="center"/>
    </xf>
    <xf numFmtId="0" fontId="10" fillId="0" borderId="0" xfId="0" applyFont="1" applyBorder="1"/>
    <xf numFmtId="164" fontId="0" fillId="0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/>
    </xf>
    <xf numFmtId="164" fontId="2" fillId="0" borderId="0" xfId="1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A15" workbookViewId="0">
      <selection activeCell="D29" sqref="D29"/>
    </sheetView>
  </sheetViews>
  <sheetFormatPr defaultColWidth="9.140625" defaultRowHeight="15" x14ac:dyDescent="0.25"/>
  <cols>
    <col min="1" max="1" width="6" style="2" customWidth="1"/>
    <col min="2" max="2" width="10.42578125" style="2" customWidth="1"/>
    <col min="3" max="3" width="78" style="2" bestFit="1" customWidth="1"/>
    <col min="4" max="4" width="14.28515625" style="2" bestFit="1" customWidth="1"/>
    <col min="5" max="5" width="10.140625" style="2" customWidth="1"/>
    <col min="6" max="6" width="13.28515625" style="2" bestFit="1" customWidth="1"/>
    <col min="7" max="7" width="14.28515625" style="2" bestFit="1" customWidth="1"/>
    <col min="8" max="8" width="22" style="2" bestFit="1" customWidth="1"/>
    <col min="9" max="9" width="16.28515625" style="2" bestFit="1" customWidth="1"/>
    <col min="10" max="10" width="16.28515625" style="2" customWidth="1"/>
    <col min="11" max="11" width="15.85546875" style="2" customWidth="1"/>
    <col min="12" max="12" width="13.42578125" style="2" customWidth="1"/>
    <col min="13" max="13" width="13.5703125" style="2" customWidth="1"/>
    <col min="14" max="14" width="13.28515625" style="2" bestFit="1" customWidth="1"/>
    <col min="15" max="15" width="12.28515625" style="2" bestFit="1" customWidth="1"/>
    <col min="16" max="16384" width="9.140625" style="2"/>
  </cols>
  <sheetData>
    <row r="1" spans="1:15" x14ac:dyDescent="0.25">
      <c r="A1" s="1" t="s">
        <v>98</v>
      </c>
      <c r="D1" s="2" t="s">
        <v>99</v>
      </c>
      <c r="G1" s="3" t="s">
        <v>100</v>
      </c>
    </row>
    <row r="3" spans="1:15" x14ac:dyDescent="0.25">
      <c r="A3" s="4" t="s">
        <v>0</v>
      </c>
      <c r="D3" s="5">
        <f>Finance_Invoices!G11</f>
        <v>3617976.2799999993</v>
      </c>
      <c r="H3" s="4" t="s">
        <v>1</v>
      </c>
      <c r="K3" s="6">
        <f>K5*K4</f>
        <v>566801.00957249198</v>
      </c>
      <c r="L3" s="6">
        <f t="shared" ref="L3:M3" si="0">L5*L4</f>
        <v>2531711.1760904645</v>
      </c>
      <c r="M3" s="6">
        <f t="shared" si="0"/>
        <v>1037623.7148573756</v>
      </c>
      <c r="N3" s="7">
        <f>SUM(K3:M3)</f>
        <v>4136135.9005203322</v>
      </c>
      <c r="O3" s="8">
        <f>D3-N3</f>
        <v>-518159.62052033283</v>
      </c>
    </row>
    <row r="4" spans="1:15" x14ac:dyDescent="0.25">
      <c r="A4" s="4" t="s">
        <v>2</v>
      </c>
      <c r="D4" s="5">
        <f>G31</f>
        <v>3868390.05</v>
      </c>
      <c r="H4" s="4" t="s">
        <v>3</v>
      </c>
      <c r="K4" s="9">
        <f>K35/K5*$D$5</f>
        <v>28340.050478624598</v>
      </c>
      <c r="L4" s="9">
        <f>L35/L5*$D$5</f>
        <v>126585.55880452323</v>
      </c>
      <c r="M4" s="9">
        <f>M35/M5*$D$5</f>
        <v>51881.18574286878</v>
      </c>
    </row>
    <row r="5" spans="1:15" x14ac:dyDescent="0.25">
      <c r="A5" s="4" t="s">
        <v>4</v>
      </c>
      <c r="D5" s="5">
        <f>D4/D3</f>
        <v>1.069213767758588</v>
      </c>
      <c r="H5" s="10" t="s">
        <v>5</v>
      </c>
      <c r="I5" s="11"/>
      <c r="J5" s="11"/>
      <c r="K5" s="12">
        <f>'Values FAR'!H66</f>
        <v>20</v>
      </c>
      <c r="L5" s="12">
        <f>'Values FAR'!H22</f>
        <v>20</v>
      </c>
      <c r="M5" s="12">
        <f>'Values FAR'!H44</f>
        <v>20</v>
      </c>
    </row>
    <row r="6" spans="1:15" x14ac:dyDescent="0.25">
      <c r="H6" s="13" t="s">
        <v>6</v>
      </c>
      <c r="I6" s="14"/>
      <c r="J6" s="14"/>
      <c r="K6" s="15">
        <v>20</v>
      </c>
      <c r="L6" s="15">
        <v>20</v>
      </c>
      <c r="M6" s="15">
        <v>20</v>
      </c>
    </row>
    <row r="7" spans="1:15" x14ac:dyDescent="0.25">
      <c r="H7" s="16" t="s">
        <v>7</v>
      </c>
      <c r="I7" s="17"/>
      <c r="J7" s="17"/>
      <c r="K7" s="18" t="s">
        <v>8</v>
      </c>
      <c r="L7" s="18" t="s">
        <v>8</v>
      </c>
      <c r="M7" s="18" t="s">
        <v>8</v>
      </c>
    </row>
    <row r="9" spans="1:15" ht="22.5" customHeight="1" x14ac:dyDescent="0.25">
      <c r="A9" s="58" t="s">
        <v>9</v>
      </c>
      <c r="B9" s="58" t="s">
        <v>10</v>
      </c>
      <c r="C9" s="60" t="s">
        <v>11</v>
      </c>
      <c r="D9" s="62" t="s">
        <v>12</v>
      </c>
      <c r="E9" s="63"/>
      <c r="F9" s="63"/>
      <c r="G9" s="64"/>
      <c r="I9" s="51" t="s">
        <v>13</v>
      </c>
      <c r="J9" s="51" t="s">
        <v>14</v>
      </c>
      <c r="K9" s="51" t="s">
        <v>15</v>
      </c>
      <c r="L9" s="51"/>
      <c r="M9" s="51"/>
    </row>
    <row r="10" spans="1:15" x14ac:dyDescent="0.25">
      <c r="A10" s="59"/>
      <c r="B10" s="59"/>
      <c r="C10" s="61"/>
      <c r="D10" s="19" t="s">
        <v>16</v>
      </c>
      <c r="E10" s="20" t="s">
        <v>17</v>
      </c>
      <c r="F10" s="20" t="s">
        <v>18</v>
      </c>
      <c r="G10" s="20" t="s">
        <v>19</v>
      </c>
      <c r="I10" s="51"/>
      <c r="J10" s="51"/>
      <c r="K10" s="20" t="s">
        <v>20</v>
      </c>
      <c r="L10" s="20" t="s">
        <v>21</v>
      </c>
      <c r="M10" s="20" t="s">
        <v>22</v>
      </c>
    </row>
    <row r="11" spans="1:15" x14ac:dyDescent="0.25">
      <c r="A11" s="52" t="s">
        <v>23</v>
      </c>
      <c r="B11" s="53"/>
      <c r="C11" s="53"/>
      <c r="D11" s="53"/>
      <c r="E11" s="53"/>
      <c r="F11" s="53"/>
      <c r="G11" s="54"/>
      <c r="I11" s="21"/>
      <c r="J11" s="21"/>
      <c r="K11" s="21"/>
      <c r="L11" s="21"/>
      <c r="M11" s="21"/>
    </row>
    <row r="12" spans="1:15" x14ac:dyDescent="0.25">
      <c r="A12" s="55" t="s">
        <v>24</v>
      </c>
      <c r="B12" s="56"/>
      <c r="C12" s="56"/>
      <c r="D12" s="56"/>
      <c r="E12" s="56"/>
      <c r="F12" s="56"/>
      <c r="G12" s="57"/>
      <c r="I12" s="21"/>
      <c r="J12" s="21"/>
      <c r="K12" s="21"/>
      <c r="L12" s="21"/>
      <c r="M12" s="21"/>
    </row>
    <row r="13" spans="1:15" x14ac:dyDescent="0.25">
      <c r="A13" s="22"/>
      <c r="B13" s="23">
        <v>1</v>
      </c>
      <c r="C13" s="24" t="s">
        <v>47</v>
      </c>
      <c r="D13" s="25" t="s">
        <v>25</v>
      </c>
      <c r="E13" s="23">
        <v>0</v>
      </c>
      <c r="F13" s="40"/>
      <c r="G13" s="40">
        <v>301400</v>
      </c>
      <c r="I13" s="26">
        <f>G13</f>
        <v>301400</v>
      </c>
      <c r="J13" s="27"/>
      <c r="K13" s="27"/>
      <c r="L13" s="27"/>
      <c r="M13" s="27"/>
      <c r="O13" s="28">
        <f>G13-SUM(I13:M13)</f>
        <v>0</v>
      </c>
    </row>
    <row r="14" spans="1:15" x14ac:dyDescent="0.25">
      <c r="A14" s="22"/>
      <c r="B14" s="23"/>
      <c r="C14" s="24" t="s">
        <v>48</v>
      </c>
      <c r="D14" s="25"/>
      <c r="E14" s="23"/>
      <c r="F14" s="40"/>
      <c r="G14" s="40">
        <v>184209.05</v>
      </c>
      <c r="I14" s="26">
        <f>G14</f>
        <v>184209.05</v>
      </c>
      <c r="J14" s="27"/>
      <c r="K14" s="27"/>
      <c r="L14" s="27"/>
      <c r="M14" s="27"/>
      <c r="O14" s="28">
        <f>G14-SUM(I14:M14)</f>
        <v>0</v>
      </c>
    </row>
    <row r="15" spans="1:15" x14ac:dyDescent="0.25">
      <c r="A15" s="22"/>
      <c r="B15" s="23"/>
      <c r="C15" s="29" t="s">
        <v>26</v>
      </c>
      <c r="D15" s="23"/>
      <c r="E15" s="23"/>
      <c r="F15" s="40"/>
      <c r="G15" s="40"/>
      <c r="I15" s="27"/>
      <c r="J15" s="27"/>
      <c r="K15" s="27"/>
      <c r="L15" s="27"/>
      <c r="M15" s="27"/>
      <c r="O15" s="28">
        <f t="shared" ref="O15:O30" si="1">G15-SUM(I15:M15)</f>
        <v>0</v>
      </c>
    </row>
    <row r="16" spans="1:15" x14ac:dyDescent="0.25">
      <c r="A16" s="22"/>
      <c r="B16" s="23">
        <v>1</v>
      </c>
      <c r="C16" s="24" t="s">
        <v>27</v>
      </c>
      <c r="D16" s="23" t="s">
        <v>28</v>
      </c>
      <c r="E16" s="23">
        <v>20</v>
      </c>
      <c r="F16" s="40">
        <v>30373.347898958455</v>
      </c>
      <c r="G16" s="40">
        <v>607466.95797916909</v>
      </c>
      <c r="I16" s="27"/>
      <c r="J16" s="27"/>
      <c r="K16" s="27"/>
      <c r="L16" s="26">
        <f>G16</f>
        <v>607466.95797916909</v>
      </c>
      <c r="M16" s="27"/>
      <c r="O16" s="28">
        <f t="shared" si="1"/>
        <v>0</v>
      </c>
    </row>
    <row r="17" spans="1:15" ht="30" x14ac:dyDescent="0.25">
      <c r="A17" s="22"/>
      <c r="B17" s="23">
        <v>2</v>
      </c>
      <c r="C17" s="30" t="s">
        <v>29</v>
      </c>
      <c r="D17" s="23" t="s">
        <v>30</v>
      </c>
      <c r="E17" s="23">
        <v>20</v>
      </c>
      <c r="F17" s="40">
        <v>3239.8237758889022</v>
      </c>
      <c r="G17" s="40">
        <v>64796.475517778046</v>
      </c>
      <c r="I17" s="27"/>
      <c r="J17" s="26">
        <f>G17</f>
        <v>64796.475517778046</v>
      </c>
      <c r="K17" s="27"/>
      <c r="L17" s="27"/>
      <c r="M17" s="27"/>
      <c r="O17" s="28">
        <f t="shared" si="1"/>
        <v>0</v>
      </c>
    </row>
    <row r="18" spans="1:15" x14ac:dyDescent="0.25">
      <c r="A18" s="22"/>
      <c r="B18" s="23">
        <v>3</v>
      </c>
      <c r="C18" s="24" t="s">
        <v>31</v>
      </c>
      <c r="D18" s="23" t="s">
        <v>28</v>
      </c>
      <c r="E18" s="23">
        <v>20</v>
      </c>
      <c r="F18" s="40">
        <v>15186.673949479227</v>
      </c>
      <c r="G18" s="40">
        <v>303733.47898958455</v>
      </c>
      <c r="I18" s="27"/>
      <c r="J18" s="27"/>
      <c r="K18" s="26">
        <f>G18</f>
        <v>303733.47898958455</v>
      </c>
      <c r="L18" s="27"/>
      <c r="M18" s="27"/>
      <c r="O18" s="28">
        <f t="shared" si="1"/>
        <v>0</v>
      </c>
    </row>
    <row r="19" spans="1:15" ht="30" x14ac:dyDescent="0.25">
      <c r="A19" s="22"/>
      <c r="B19" s="23">
        <v>4</v>
      </c>
      <c r="C19" s="30" t="s">
        <v>32</v>
      </c>
      <c r="D19" s="23" t="s">
        <v>28</v>
      </c>
      <c r="E19" s="23">
        <v>20</v>
      </c>
      <c r="F19" s="40">
        <v>30373.347898958455</v>
      </c>
      <c r="G19" s="40">
        <v>607466.95797916909</v>
      </c>
      <c r="I19" s="27"/>
      <c r="J19" s="27"/>
      <c r="K19" s="27"/>
      <c r="L19" s="26">
        <f>G19</f>
        <v>607466.95797916909</v>
      </c>
      <c r="M19" s="27"/>
      <c r="O19" s="28">
        <f t="shared" si="1"/>
        <v>0</v>
      </c>
    </row>
    <row r="20" spans="1:15" x14ac:dyDescent="0.25">
      <c r="A20" s="22"/>
      <c r="B20" s="23">
        <v>5</v>
      </c>
      <c r="C20" s="24" t="s">
        <v>33</v>
      </c>
      <c r="D20" s="23" t="s">
        <v>28</v>
      </c>
      <c r="E20" s="23">
        <v>4</v>
      </c>
      <c r="F20" s="40">
        <v>15186.673949479227</v>
      </c>
      <c r="G20" s="40">
        <v>60746.695797916909</v>
      </c>
      <c r="I20" s="27"/>
      <c r="J20" s="27"/>
      <c r="K20" s="27"/>
      <c r="L20" s="26">
        <f>G20</f>
        <v>60746.695797916909</v>
      </c>
      <c r="M20" s="27"/>
      <c r="O20" s="28">
        <f t="shared" si="1"/>
        <v>0</v>
      </c>
    </row>
    <row r="21" spans="1:15" x14ac:dyDescent="0.25">
      <c r="A21" s="22"/>
      <c r="B21" s="23">
        <v>6</v>
      </c>
      <c r="C21" s="24" t="s">
        <v>34</v>
      </c>
      <c r="D21" s="23" t="s">
        <v>28</v>
      </c>
      <c r="E21" s="23">
        <v>8</v>
      </c>
      <c r="F21" s="40">
        <v>10124.449299652819</v>
      </c>
      <c r="G21" s="40">
        <v>80995.59439722255</v>
      </c>
      <c r="I21" s="27"/>
      <c r="J21" s="27"/>
      <c r="K21" s="27"/>
      <c r="L21" s="26">
        <f>G21</f>
        <v>80995.59439722255</v>
      </c>
      <c r="M21" s="27"/>
      <c r="O21" s="28">
        <f t="shared" si="1"/>
        <v>0</v>
      </c>
    </row>
    <row r="22" spans="1:15" x14ac:dyDescent="0.25">
      <c r="A22" s="22"/>
      <c r="B22" s="23">
        <v>7</v>
      </c>
      <c r="C22" s="24" t="s">
        <v>35</v>
      </c>
      <c r="D22" s="23" t="s">
        <v>28</v>
      </c>
      <c r="E22" s="23">
        <v>180</v>
      </c>
      <c r="F22" s="40">
        <v>2925.9658475996648</v>
      </c>
      <c r="G22" s="40">
        <v>526673.85256793967</v>
      </c>
      <c r="I22" s="27"/>
      <c r="J22" s="27"/>
      <c r="K22" s="27"/>
      <c r="L22" s="27"/>
      <c r="M22" s="26">
        <f>G22</f>
        <v>526673.85256793967</v>
      </c>
      <c r="O22" s="28">
        <f t="shared" si="1"/>
        <v>0</v>
      </c>
    </row>
    <row r="23" spans="1:15" ht="30" x14ac:dyDescent="0.25">
      <c r="A23" s="22"/>
      <c r="B23" s="23">
        <v>8</v>
      </c>
      <c r="C23" s="30" t="s">
        <v>36</v>
      </c>
      <c r="D23" s="23" t="s">
        <v>28</v>
      </c>
      <c r="E23" s="23">
        <v>20</v>
      </c>
      <c r="F23" s="40">
        <v>1468.0451484496589</v>
      </c>
      <c r="G23" s="40">
        <v>29360.902968993178</v>
      </c>
      <c r="I23" s="27"/>
      <c r="J23" s="27"/>
      <c r="K23" s="27"/>
      <c r="L23" s="27"/>
      <c r="M23" s="26">
        <f>G23</f>
        <v>29360.902968993178</v>
      </c>
      <c r="O23" s="28">
        <f t="shared" si="1"/>
        <v>0</v>
      </c>
    </row>
    <row r="24" spans="1:15" x14ac:dyDescent="0.25">
      <c r="A24" s="22"/>
      <c r="B24" s="23">
        <v>9</v>
      </c>
      <c r="C24" s="24" t="s">
        <v>37</v>
      </c>
      <c r="D24" s="23" t="s">
        <v>38</v>
      </c>
      <c r="E24" s="23">
        <v>1</v>
      </c>
      <c r="F24" s="40">
        <v>809955.94397222565</v>
      </c>
      <c r="G24" s="40">
        <v>809955.94397222565</v>
      </c>
      <c r="I24" s="27"/>
      <c r="J24" s="26">
        <f>G24</f>
        <v>809955.94397222565</v>
      </c>
      <c r="K24" s="27"/>
      <c r="L24" s="27"/>
      <c r="M24" s="27"/>
      <c r="O24" s="28">
        <f t="shared" si="1"/>
        <v>0</v>
      </c>
    </row>
    <row r="25" spans="1:15" x14ac:dyDescent="0.25">
      <c r="A25" s="22"/>
      <c r="B25" s="23"/>
      <c r="C25" s="24"/>
      <c r="D25" s="23"/>
      <c r="E25" s="23"/>
      <c r="F25" s="40"/>
      <c r="G25" s="40">
        <v>0</v>
      </c>
      <c r="I25" s="27"/>
      <c r="J25" s="27"/>
      <c r="K25" s="27"/>
      <c r="L25" s="27"/>
      <c r="M25" s="27"/>
      <c r="O25" s="28">
        <f t="shared" si="1"/>
        <v>0</v>
      </c>
    </row>
    <row r="26" spans="1:15" x14ac:dyDescent="0.25">
      <c r="A26" s="22"/>
      <c r="B26" s="23"/>
      <c r="C26" s="31" t="s">
        <v>39</v>
      </c>
      <c r="D26" s="23"/>
      <c r="E26" s="23"/>
      <c r="F26" s="40"/>
      <c r="G26" s="40">
        <v>0</v>
      </c>
      <c r="I26" s="27"/>
      <c r="J26" s="27"/>
      <c r="K26" s="27"/>
      <c r="L26" s="27"/>
      <c r="M26" s="27"/>
      <c r="O26" s="28">
        <f t="shared" si="1"/>
        <v>0</v>
      </c>
    </row>
    <row r="27" spans="1:15" x14ac:dyDescent="0.25">
      <c r="A27" s="22"/>
      <c r="B27" s="23">
        <v>9</v>
      </c>
      <c r="C27" s="24" t="s">
        <v>40</v>
      </c>
      <c r="D27" s="23" t="s">
        <v>28</v>
      </c>
      <c r="E27" s="23">
        <v>1</v>
      </c>
      <c r="F27" s="40">
        <v>32398.237758889023</v>
      </c>
      <c r="G27" s="40">
        <v>32398.237758889023</v>
      </c>
      <c r="I27" s="27"/>
      <c r="J27" s="26">
        <f>G27</f>
        <v>32398.237758889023</v>
      </c>
      <c r="K27" s="27"/>
      <c r="L27" s="27"/>
      <c r="M27" s="27"/>
      <c r="O27" s="28">
        <f t="shared" si="1"/>
        <v>0</v>
      </c>
    </row>
    <row r="28" spans="1:15" x14ac:dyDescent="0.25">
      <c r="A28" s="22"/>
      <c r="B28" s="23">
        <v>10</v>
      </c>
      <c r="C28" s="24" t="s">
        <v>41</v>
      </c>
      <c r="D28" s="23" t="s">
        <v>28</v>
      </c>
      <c r="E28" s="23">
        <v>1</v>
      </c>
      <c r="F28" s="40">
        <v>6074.6695797916918</v>
      </c>
      <c r="G28" s="40">
        <v>6074.6695797916918</v>
      </c>
      <c r="I28" s="27"/>
      <c r="J28" s="26">
        <f>G28</f>
        <v>6074.6695797916918</v>
      </c>
      <c r="K28" s="27"/>
      <c r="L28" s="27"/>
      <c r="M28" s="27"/>
      <c r="O28" s="28">
        <f t="shared" si="1"/>
        <v>0</v>
      </c>
    </row>
    <row r="29" spans="1:15" x14ac:dyDescent="0.25">
      <c r="A29" s="22"/>
      <c r="B29" s="23">
        <v>11</v>
      </c>
      <c r="C29" s="24" t="s">
        <v>42</v>
      </c>
      <c r="D29" s="23" t="s">
        <v>28</v>
      </c>
      <c r="E29" s="23">
        <v>1</v>
      </c>
      <c r="F29" s="40">
        <v>101244.49299652821</v>
      </c>
      <c r="G29" s="40">
        <v>101244.49299652821</v>
      </c>
      <c r="I29" s="27"/>
      <c r="J29" s="26">
        <f>G29</f>
        <v>101244.49299652821</v>
      </c>
      <c r="K29" s="27"/>
      <c r="L29" s="27"/>
      <c r="M29" s="27"/>
      <c r="O29" s="28">
        <f t="shared" si="1"/>
        <v>0</v>
      </c>
    </row>
    <row r="30" spans="1:15" x14ac:dyDescent="0.25">
      <c r="A30" s="22"/>
      <c r="B30" s="23">
        <v>12</v>
      </c>
      <c r="C30" s="24" t="s">
        <v>43</v>
      </c>
      <c r="D30" s="23" t="s">
        <v>38</v>
      </c>
      <c r="E30" s="23">
        <v>1</v>
      </c>
      <c r="F30" s="40">
        <v>151866.73949479227</v>
      </c>
      <c r="G30" s="40">
        <v>151866.73949479227</v>
      </c>
      <c r="I30" s="27"/>
      <c r="J30" s="26">
        <f>G30</f>
        <v>151866.73949479227</v>
      </c>
      <c r="K30" s="27"/>
      <c r="L30" s="27"/>
      <c r="M30" s="27"/>
      <c r="O30" s="28">
        <f t="shared" si="1"/>
        <v>0</v>
      </c>
    </row>
    <row r="31" spans="1:15" x14ac:dyDescent="0.25">
      <c r="G31" s="32">
        <f>SUM(G13:G30)</f>
        <v>3868390.05</v>
      </c>
      <c r="I31" s="33">
        <f>SUM(I13:I30)</f>
        <v>485609.05</v>
      </c>
      <c r="J31" s="33">
        <f t="shared" ref="J31:M31" si="2">SUM(J13:J30)</f>
        <v>1166336.5593200049</v>
      </c>
      <c r="K31" s="33">
        <f t="shared" si="2"/>
        <v>303733.47898958455</v>
      </c>
      <c r="L31" s="33">
        <f t="shared" si="2"/>
        <v>1356676.2061534778</v>
      </c>
      <c r="M31" s="33">
        <f t="shared" si="2"/>
        <v>556034.75553693285</v>
      </c>
      <c r="N31" s="34">
        <f>SUM(I31:M31)</f>
        <v>3868390.0500000003</v>
      </c>
      <c r="O31" s="8">
        <f>G31-N31</f>
        <v>0</v>
      </c>
    </row>
    <row r="32" spans="1:15" x14ac:dyDescent="0.25">
      <c r="H32" s="35" t="s">
        <v>44</v>
      </c>
      <c r="I32" s="36"/>
      <c r="J32" s="37">
        <f>-J31</f>
        <v>-1166336.5593200049</v>
      </c>
      <c r="K32" s="38">
        <f>K31/($K$31+$L$31+$M$31)*$J$31</f>
        <v>159830.51699068217</v>
      </c>
      <c r="L32" s="38">
        <f t="shared" ref="L32:M32" si="3">L31/($K$31+$L$31+$M$31)*$J$31</f>
        <v>713909.6425583805</v>
      </c>
      <c r="M32" s="38">
        <f t="shared" si="3"/>
        <v>292596.39977094217</v>
      </c>
      <c r="N32" s="34">
        <f>SUM(J32:M32)</f>
        <v>0</v>
      </c>
    </row>
    <row r="33" spans="8:14" x14ac:dyDescent="0.25">
      <c r="H33" s="39"/>
      <c r="I33" s="33">
        <f>I31+I32</f>
        <v>485609.05</v>
      </c>
      <c r="J33" s="33">
        <f t="shared" ref="J33:M33" si="4">J31+J32</f>
        <v>0</v>
      </c>
      <c r="K33" s="33">
        <f t="shared" si="4"/>
        <v>463563.99598026671</v>
      </c>
      <c r="L33" s="33">
        <f t="shared" si="4"/>
        <v>2070585.8487118583</v>
      </c>
      <c r="M33" s="33">
        <f t="shared" si="4"/>
        <v>848631.15530787501</v>
      </c>
      <c r="N33" s="34">
        <f>SUM(I33:M33)</f>
        <v>3868390.05</v>
      </c>
    </row>
    <row r="34" spans="8:14" x14ac:dyDescent="0.25">
      <c r="H34" s="35" t="s">
        <v>45</v>
      </c>
      <c r="I34" s="37">
        <f>-I33</f>
        <v>-485609.05</v>
      </c>
      <c r="J34" s="36"/>
      <c r="K34" s="38">
        <f>K33/($K$33+$L$33+$M$33)*$I$33</f>
        <v>66546.096747670381</v>
      </c>
      <c r="L34" s="38">
        <f t="shared" ref="L34:M34" si="5">L33/($K$33+$L$33+$M$33)*$I$33</f>
        <v>297239.23213959439</v>
      </c>
      <c r="M34" s="38">
        <f t="shared" si="5"/>
        <v>121823.72111273523</v>
      </c>
      <c r="N34" s="34">
        <f>SUM(I34:M34)</f>
        <v>0</v>
      </c>
    </row>
    <row r="35" spans="8:14" x14ac:dyDescent="0.25">
      <c r="H35" s="39"/>
      <c r="I35" s="33">
        <f>I33+I34</f>
        <v>0</v>
      </c>
      <c r="J35" s="33">
        <f t="shared" ref="J35:M35" si="6">J33+J34</f>
        <v>0</v>
      </c>
      <c r="K35" s="33">
        <f t="shared" si="6"/>
        <v>530110.09272793704</v>
      </c>
      <c r="L35" s="33">
        <f t="shared" si="6"/>
        <v>2367825.0808514524</v>
      </c>
      <c r="M35" s="33">
        <f t="shared" si="6"/>
        <v>970454.87642061024</v>
      </c>
      <c r="N35" s="34">
        <f>SUM(I35:M35)</f>
        <v>3868390.0499999993</v>
      </c>
    </row>
    <row r="36" spans="8:14" x14ac:dyDescent="0.25">
      <c r="H36" s="35" t="s">
        <v>46</v>
      </c>
      <c r="I36" s="36"/>
      <c r="J36" s="36"/>
      <c r="K36" s="33">
        <f>K35/K6</f>
        <v>26505.50463639685</v>
      </c>
      <c r="L36" s="33">
        <f>L35/L6</f>
        <v>118391.25404257262</v>
      </c>
      <c r="M36" s="33">
        <f>M35/M6</f>
        <v>48522.743821030512</v>
      </c>
    </row>
  </sheetData>
  <mergeCells count="9">
    <mergeCell ref="K9:M9"/>
    <mergeCell ref="A11:G11"/>
    <mergeCell ref="A12:G12"/>
    <mergeCell ref="A9:A10"/>
    <mergeCell ref="B9:B10"/>
    <mergeCell ref="C9:C10"/>
    <mergeCell ref="D9:G9"/>
    <mergeCell ref="I9:I10"/>
    <mergeCell ref="J9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topLeftCell="I1" workbookViewId="0">
      <selection activeCell="M2" sqref="M2"/>
    </sheetView>
  </sheetViews>
  <sheetFormatPr defaultColWidth="9.28515625" defaultRowHeight="15" x14ac:dyDescent="0.25"/>
  <cols>
    <col min="1" max="1" width="7" bestFit="1" customWidth="1"/>
    <col min="2" max="2" width="16.7109375" bestFit="1" customWidth="1"/>
    <col min="3" max="3" width="43.5703125" bestFit="1" customWidth="1"/>
    <col min="4" max="4" width="25.28515625" bestFit="1" customWidth="1"/>
    <col min="5" max="5" width="12.28515625" style="49" bestFit="1" customWidth="1"/>
    <col min="6" max="6" width="9" bestFit="1" customWidth="1"/>
    <col min="7" max="7" width="13.7109375" bestFit="1" customWidth="1"/>
    <col min="8" max="8" width="13.85546875" bestFit="1" customWidth="1"/>
    <col min="9" max="10" width="63" bestFit="1" customWidth="1"/>
    <col min="11" max="11" width="4.28515625" bestFit="1" customWidth="1"/>
    <col min="12" max="12" width="18.28515625" customWidth="1"/>
    <col min="13" max="13" width="20.140625" customWidth="1"/>
    <col min="14" max="14" width="9.140625" bestFit="1" customWidth="1"/>
    <col min="15" max="15" width="46" bestFit="1" customWidth="1"/>
  </cols>
  <sheetData>
    <row r="1" spans="1:15" x14ac:dyDescent="0.25">
      <c r="A1" s="3" t="s">
        <v>66</v>
      </c>
      <c r="B1" s="44" t="s">
        <v>67</v>
      </c>
      <c r="C1" s="3" t="s">
        <v>68</v>
      </c>
      <c r="D1" s="45" t="s">
        <v>69</v>
      </c>
      <c r="E1" s="44" t="s">
        <v>70</v>
      </c>
      <c r="F1" s="45" t="s">
        <v>71</v>
      </c>
      <c r="G1" s="46" t="s">
        <v>72</v>
      </c>
      <c r="H1" s="46" t="s">
        <v>73</v>
      </c>
      <c r="I1" s="45" t="s">
        <v>74</v>
      </c>
      <c r="J1" s="45" t="s">
        <v>75</v>
      </c>
      <c r="K1" s="45" t="s">
        <v>76</v>
      </c>
      <c r="L1" s="45" t="s">
        <v>77</v>
      </c>
      <c r="M1" s="45" t="s">
        <v>78</v>
      </c>
      <c r="N1" s="45" t="s">
        <v>79</v>
      </c>
      <c r="O1" s="45" t="s">
        <v>80</v>
      </c>
    </row>
    <row r="2" spans="1:15" x14ac:dyDescent="0.25">
      <c r="A2" s="41">
        <v>201711</v>
      </c>
      <c r="B2" s="42"/>
      <c r="C2" s="43" t="s">
        <v>101</v>
      </c>
      <c r="D2" t="s">
        <v>49</v>
      </c>
      <c r="F2">
        <v>20141107</v>
      </c>
      <c r="G2" s="5">
        <v>1188522</v>
      </c>
      <c r="H2" s="5">
        <v>0</v>
      </c>
      <c r="I2" t="s">
        <v>51</v>
      </c>
      <c r="J2" t="s">
        <v>52</v>
      </c>
      <c r="K2">
        <v>777</v>
      </c>
      <c r="L2">
        <v>16459</v>
      </c>
      <c r="M2">
        <v>1354915.08</v>
      </c>
      <c r="N2" t="s">
        <v>50</v>
      </c>
      <c r="O2" t="s">
        <v>53</v>
      </c>
    </row>
    <row r="3" spans="1:15" x14ac:dyDescent="0.25">
      <c r="A3" s="41">
        <v>201711</v>
      </c>
      <c r="B3" s="42"/>
      <c r="C3" s="43" t="s">
        <v>101</v>
      </c>
      <c r="D3" t="s">
        <v>49</v>
      </c>
      <c r="F3">
        <v>20141203</v>
      </c>
      <c r="G3" s="5">
        <v>118554.69</v>
      </c>
      <c r="H3" s="5">
        <v>0</v>
      </c>
      <c r="I3" t="s">
        <v>54</v>
      </c>
      <c r="J3" t="s">
        <v>55</v>
      </c>
      <c r="K3">
        <v>777</v>
      </c>
      <c r="L3">
        <v>16682</v>
      </c>
      <c r="M3">
        <v>135152.35</v>
      </c>
      <c r="N3" t="s">
        <v>50</v>
      </c>
      <c r="O3" t="s">
        <v>56</v>
      </c>
    </row>
    <row r="4" spans="1:15" x14ac:dyDescent="0.25">
      <c r="A4" s="41">
        <v>201711</v>
      </c>
      <c r="B4" s="42"/>
      <c r="C4" s="43" t="s">
        <v>101</v>
      </c>
      <c r="D4" t="s">
        <v>49</v>
      </c>
      <c r="F4">
        <v>20141203</v>
      </c>
      <c r="G4" s="5">
        <v>809456.95</v>
      </c>
      <c r="H4" s="5">
        <v>0</v>
      </c>
      <c r="I4" t="s">
        <v>51</v>
      </c>
      <c r="J4" t="s">
        <v>57</v>
      </c>
      <c r="K4">
        <v>777</v>
      </c>
      <c r="L4">
        <v>16685</v>
      </c>
      <c r="M4">
        <v>922780.92</v>
      </c>
      <c r="N4" t="s">
        <v>50</v>
      </c>
      <c r="O4" t="s">
        <v>53</v>
      </c>
    </row>
    <row r="5" spans="1:15" x14ac:dyDescent="0.25">
      <c r="A5" s="41">
        <v>201802</v>
      </c>
      <c r="B5" s="42"/>
      <c r="C5" s="43" t="s">
        <v>101</v>
      </c>
      <c r="D5" t="s">
        <v>49</v>
      </c>
      <c r="F5">
        <v>20150225</v>
      </c>
      <c r="G5" s="5">
        <v>902983</v>
      </c>
      <c r="H5" s="5">
        <v>0</v>
      </c>
      <c r="I5" t="s">
        <v>51</v>
      </c>
      <c r="J5" t="s">
        <v>58</v>
      </c>
      <c r="K5">
        <v>777</v>
      </c>
      <c r="L5">
        <v>17367</v>
      </c>
      <c r="M5">
        <v>1029400.62</v>
      </c>
      <c r="N5" t="s">
        <v>50</v>
      </c>
      <c r="O5" t="s">
        <v>53</v>
      </c>
    </row>
    <row r="6" spans="1:15" x14ac:dyDescent="0.25">
      <c r="A6" s="41">
        <v>201802</v>
      </c>
      <c r="B6" s="42"/>
      <c r="C6" s="43" t="s">
        <v>101</v>
      </c>
      <c r="D6" t="s">
        <v>59</v>
      </c>
      <c r="E6" s="49">
        <v>153</v>
      </c>
      <c r="F6">
        <v>20150513</v>
      </c>
      <c r="G6" s="5">
        <v>74068.210000000006</v>
      </c>
      <c r="H6" s="5">
        <v>0</v>
      </c>
      <c r="I6" t="s">
        <v>65</v>
      </c>
      <c r="J6" t="s">
        <v>65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</row>
    <row r="7" spans="1:15" x14ac:dyDescent="0.25">
      <c r="A7" s="41">
        <v>201802</v>
      </c>
      <c r="B7" s="42"/>
      <c r="C7" s="43" t="s">
        <v>101</v>
      </c>
      <c r="D7" t="s">
        <v>59</v>
      </c>
      <c r="E7" s="49">
        <v>153</v>
      </c>
      <c r="F7">
        <v>20150513</v>
      </c>
      <c r="G7" s="5">
        <v>365255</v>
      </c>
      <c r="H7" s="5">
        <v>0</v>
      </c>
      <c r="I7" t="s">
        <v>65</v>
      </c>
      <c r="J7" t="s">
        <v>65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</row>
    <row r="8" spans="1:15" x14ac:dyDescent="0.25">
      <c r="A8" s="41">
        <v>201802</v>
      </c>
      <c r="B8" s="42"/>
      <c r="C8" s="43" t="s">
        <v>101</v>
      </c>
      <c r="D8" t="s">
        <v>59</v>
      </c>
      <c r="E8" s="49">
        <v>153</v>
      </c>
      <c r="F8">
        <v>20150513</v>
      </c>
      <c r="G8" s="5">
        <v>70220.399999999994</v>
      </c>
      <c r="H8" s="5">
        <v>0</v>
      </c>
      <c r="I8" t="s">
        <v>65</v>
      </c>
      <c r="J8" t="s">
        <v>65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 spans="1:15" x14ac:dyDescent="0.25">
      <c r="A9" s="41">
        <v>201802</v>
      </c>
      <c r="B9" s="42"/>
      <c r="C9" s="43" t="s">
        <v>101</v>
      </c>
      <c r="D9" t="s">
        <v>59</v>
      </c>
      <c r="E9" s="49">
        <v>153</v>
      </c>
      <c r="F9">
        <v>20150513</v>
      </c>
      <c r="G9" s="5">
        <v>88916.03</v>
      </c>
      <c r="H9" s="5">
        <v>0</v>
      </c>
      <c r="I9" t="s">
        <v>65</v>
      </c>
      <c r="J9" t="s">
        <v>65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 spans="1:15" x14ac:dyDescent="0.25">
      <c r="A10" s="41"/>
      <c r="B10" s="42"/>
      <c r="C10" s="43"/>
      <c r="E10" s="42"/>
      <c r="G10" s="5"/>
      <c r="H10" s="5"/>
    </row>
    <row r="11" spans="1:15" x14ac:dyDescent="0.25">
      <c r="G11" s="48">
        <f>G2+G3+G4+G5+G6+G7+G8+G9</f>
        <v>3617976.2799999993</v>
      </c>
      <c r="M11" s="5">
        <f>SUM(M2:M10)</f>
        <v>3442248.97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6"/>
  <sheetViews>
    <sheetView workbookViewId="0">
      <selection activeCell="K12" sqref="K12"/>
    </sheetView>
  </sheetViews>
  <sheetFormatPr defaultRowHeight="15" x14ac:dyDescent="0.25"/>
  <cols>
    <col min="1" max="1" width="13.28515625" style="41" bestFit="1" customWidth="1"/>
    <col min="2" max="2" width="9.7109375" style="41" bestFit="1" customWidth="1"/>
    <col min="3" max="3" width="14.5703125" style="41" bestFit="1" customWidth="1"/>
    <col min="4" max="4" width="4.140625" style="41" bestFit="1" customWidth="1"/>
    <col min="5" max="5" width="15.42578125" style="41" bestFit="1" customWidth="1"/>
    <col min="6" max="6" width="27.85546875" style="41" bestFit="1" customWidth="1"/>
    <col min="7" max="7" width="38.140625" style="41" bestFit="1" customWidth="1"/>
    <col min="8" max="8" width="10.5703125" bestFit="1" customWidth="1"/>
    <col min="9" max="9" width="6.140625" bestFit="1" customWidth="1"/>
    <col min="10" max="10" width="4.85546875" bestFit="1" customWidth="1"/>
    <col min="11" max="11" width="13.28515625" style="5" bestFit="1" customWidth="1"/>
  </cols>
  <sheetData>
    <row r="1" spans="1:11" x14ac:dyDescent="0.25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1" t="s">
        <v>88</v>
      </c>
      <c r="I1" s="1" t="s">
        <v>89</v>
      </c>
      <c r="J1" s="1" t="s">
        <v>90</v>
      </c>
      <c r="K1" s="50" t="s">
        <v>91</v>
      </c>
    </row>
    <row r="2" spans="1:11" x14ac:dyDescent="0.25">
      <c r="A2" s="41">
        <v>793230441</v>
      </c>
      <c r="B2" s="41" t="s">
        <v>92</v>
      </c>
      <c r="C2" s="41" t="s">
        <v>92</v>
      </c>
      <c r="E2" s="41" t="s">
        <v>93</v>
      </c>
      <c r="F2" s="41" t="s">
        <v>94</v>
      </c>
      <c r="G2" s="41" t="s">
        <v>95</v>
      </c>
      <c r="H2">
        <v>1</v>
      </c>
      <c r="K2" s="5">
        <f>H2*UnbundleCosting!$L$4</f>
        <v>126585.55880452323</v>
      </c>
    </row>
    <row r="3" spans="1:11" x14ac:dyDescent="0.25">
      <c r="A3" s="41">
        <v>793309441</v>
      </c>
      <c r="B3" s="41" t="s">
        <v>92</v>
      </c>
      <c r="C3" s="41" t="s">
        <v>92</v>
      </c>
      <c r="E3" s="41" t="s">
        <v>93</v>
      </c>
      <c r="F3" s="41" t="s">
        <v>94</v>
      </c>
      <c r="G3" s="41" t="s">
        <v>95</v>
      </c>
      <c r="H3">
        <v>1</v>
      </c>
      <c r="K3" s="5">
        <f>H3*UnbundleCosting!$L$4</f>
        <v>126585.55880452323</v>
      </c>
    </row>
    <row r="4" spans="1:11" x14ac:dyDescent="0.25">
      <c r="A4" s="41">
        <v>793469441</v>
      </c>
      <c r="B4" s="41" t="s">
        <v>92</v>
      </c>
      <c r="C4" s="41" t="s">
        <v>92</v>
      </c>
      <c r="E4" s="41" t="s">
        <v>93</v>
      </c>
      <c r="F4" s="41" t="s">
        <v>94</v>
      </c>
      <c r="G4" s="41" t="s">
        <v>95</v>
      </c>
      <c r="H4">
        <v>1</v>
      </c>
      <c r="K4" s="5">
        <f>H4*UnbundleCosting!$L$4</f>
        <v>126585.55880452323</v>
      </c>
    </row>
    <row r="5" spans="1:11" x14ac:dyDescent="0.25">
      <c r="A5" s="41">
        <v>793506441</v>
      </c>
      <c r="B5" s="41" t="s">
        <v>92</v>
      </c>
      <c r="C5" s="41" t="s">
        <v>92</v>
      </c>
      <c r="E5" s="41" t="s">
        <v>93</v>
      </c>
      <c r="F5" s="41" t="s">
        <v>94</v>
      </c>
      <c r="G5" s="41" t="s">
        <v>95</v>
      </c>
      <c r="H5">
        <v>1</v>
      </c>
      <c r="K5" s="5">
        <f>H5*UnbundleCosting!$L$4</f>
        <v>126585.55880452323</v>
      </c>
    </row>
    <row r="6" spans="1:11" x14ac:dyDescent="0.25">
      <c r="A6" s="41">
        <v>793810462</v>
      </c>
      <c r="B6" s="41" t="s">
        <v>92</v>
      </c>
      <c r="C6" s="41" t="s">
        <v>92</v>
      </c>
      <c r="E6" s="41" t="s">
        <v>93</v>
      </c>
      <c r="F6" s="41" t="s">
        <v>94</v>
      </c>
      <c r="G6" s="41" t="s">
        <v>95</v>
      </c>
      <c r="H6">
        <v>1</v>
      </c>
      <c r="K6" s="5">
        <f>H6*UnbundleCosting!$L$4</f>
        <v>126585.55880452323</v>
      </c>
    </row>
    <row r="7" spans="1:11" x14ac:dyDescent="0.25">
      <c r="A7" s="41">
        <v>793843462</v>
      </c>
      <c r="B7" s="41" t="s">
        <v>92</v>
      </c>
      <c r="C7" s="41" t="s">
        <v>92</v>
      </c>
      <c r="E7" s="41" t="s">
        <v>93</v>
      </c>
      <c r="F7" s="41" t="s">
        <v>94</v>
      </c>
      <c r="G7" s="41" t="s">
        <v>95</v>
      </c>
      <c r="H7">
        <v>1</v>
      </c>
      <c r="K7" s="5">
        <f>H7*UnbundleCosting!$L$4</f>
        <v>126585.55880452323</v>
      </c>
    </row>
    <row r="8" spans="1:11" x14ac:dyDescent="0.25">
      <c r="A8" s="41">
        <v>793847441</v>
      </c>
      <c r="B8" s="41" t="s">
        <v>92</v>
      </c>
      <c r="C8" s="41" t="s">
        <v>92</v>
      </c>
      <c r="E8" s="41" t="s">
        <v>93</v>
      </c>
      <c r="F8" s="41" t="s">
        <v>94</v>
      </c>
      <c r="G8" s="41" t="s">
        <v>95</v>
      </c>
      <c r="H8">
        <v>1</v>
      </c>
      <c r="K8" s="5">
        <f>H8*UnbundleCosting!$L$4</f>
        <v>126585.55880452323</v>
      </c>
    </row>
    <row r="9" spans="1:11" x14ac:dyDescent="0.25">
      <c r="A9" s="41">
        <v>793924462</v>
      </c>
      <c r="B9" s="41" t="s">
        <v>92</v>
      </c>
      <c r="C9" s="41" t="s">
        <v>92</v>
      </c>
      <c r="E9" s="41" t="s">
        <v>93</v>
      </c>
      <c r="F9" s="41" t="s">
        <v>94</v>
      </c>
      <c r="G9" s="41" t="s">
        <v>95</v>
      </c>
      <c r="H9">
        <v>1</v>
      </c>
      <c r="K9" s="5">
        <f>H9*UnbundleCosting!$L$4</f>
        <v>126585.55880452323</v>
      </c>
    </row>
    <row r="10" spans="1:11" x14ac:dyDescent="0.25">
      <c r="A10" s="41">
        <v>793959462</v>
      </c>
      <c r="B10" s="41" t="s">
        <v>92</v>
      </c>
      <c r="C10" s="41" t="s">
        <v>92</v>
      </c>
      <c r="E10" s="41" t="s">
        <v>93</v>
      </c>
      <c r="F10" s="41" t="s">
        <v>94</v>
      </c>
      <c r="G10" s="41" t="s">
        <v>95</v>
      </c>
      <c r="H10">
        <v>1</v>
      </c>
      <c r="K10" s="5">
        <f>H10*UnbundleCosting!$L$4</f>
        <v>126585.55880452323</v>
      </c>
    </row>
    <row r="11" spans="1:11" x14ac:dyDescent="0.25">
      <c r="A11" s="41">
        <v>794006462</v>
      </c>
      <c r="B11" s="41" t="s">
        <v>92</v>
      </c>
      <c r="C11" s="41" t="s">
        <v>92</v>
      </c>
      <c r="E11" s="41" t="s">
        <v>93</v>
      </c>
      <c r="F11" s="41" t="s">
        <v>94</v>
      </c>
      <c r="G11" s="41" t="s">
        <v>95</v>
      </c>
      <c r="H11">
        <v>1</v>
      </c>
      <c r="K11" s="5">
        <f>H11*UnbundleCosting!$L$4</f>
        <v>126585.55880452323</v>
      </c>
    </row>
    <row r="12" spans="1:11" x14ac:dyDescent="0.25">
      <c r="A12" s="41">
        <v>794736441</v>
      </c>
      <c r="B12" s="41" t="s">
        <v>92</v>
      </c>
      <c r="C12" s="41" t="s">
        <v>92</v>
      </c>
      <c r="E12" s="41" t="s">
        <v>93</v>
      </c>
      <c r="F12" s="41" t="s">
        <v>94</v>
      </c>
      <c r="G12" s="41" t="s">
        <v>95</v>
      </c>
      <c r="H12">
        <v>1</v>
      </c>
      <c r="K12" s="5">
        <f>H12*UnbundleCosting!$L$4</f>
        <v>126585.55880452323</v>
      </c>
    </row>
    <row r="13" spans="1:11" x14ac:dyDescent="0.25">
      <c r="A13" s="41">
        <v>803095460</v>
      </c>
      <c r="B13" s="41" t="s">
        <v>92</v>
      </c>
      <c r="C13" s="41" t="s">
        <v>92</v>
      </c>
      <c r="E13" s="41" t="s">
        <v>93</v>
      </c>
      <c r="F13" s="41" t="s">
        <v>94</v>
      </c>
      <c r="G13" s="41" t="s">
        <v>95</v>
      </c>
      <c r="H13">
        <v>1</v>
      </c>
      <c r="K13" s="5">
        <f>H13*UnbundleCosting!$L$4</f>
        <v>126585.55880452323</v>
      </c>
    </row>
    <row r="14" spans="1:11" x14ac:dyDescent="0.25">
      <c r="A14" s="41">
        <v>803135460</v>
      </c>
      <c r="B14" s="41" t="s">
        <v>92</v>
      </c>
      <c r="C14" s="41" t="s">
        <v>92</v>
      </c>
      <c r="E14" s="41" t="s">
        <v>93</v>
      </c>
      <c r="F14" s="41" t="s">
        <v>94</v>
      </c>
      <c r="G14" s="41" t="s">
        <v>95</v>
      </c>
      <c r="H14">
        <v>1</v>
      </c>
      <c r="K14" s="5">
        <f>H14*UnbundleCosting!$L$4</f>
        <v>126585.55880452323</v>
      </c>
    </row>
    <row r="15" spans="1:11" x14ac:dyDescent="0.25">
      <c r="A15" s="41">
        <v>803213460</v>
      </c>
      <c r="B15" s="41" t="s">
        <v>92</v>
      </c>
      <c r="C15" s="41" t="s">
        <v>92</v>
      </c>
      <c r="E15" s="41" t="s">
        <v>93</v>
      </c>
      <c r="F15" s="41" t="s">
        <v>94</v>
      </c>
      <c r="G15" s="41" t="s">
        <v>95</v>
      </c>
      <c r="H15">
        <v>1</v>
      </c>
      <c r="K15" s="5">
        <f>H15*UnbundleCosting!$L$4</f>
        <v>126585.55880452323</v>
      </c>
    </row>
    <row r="16" spans="1:11" x14ac:dyDescent="0.25">
      <c r="A16" s="41">
        <v>803249460</v>
      </c>
      <c r="B16" s="41" t="s">
        <v>92</v>
      </c>
      <c r="C16" s="41" t="s">
        <v>92</v>
      </c>
      <c r="E16" s="41" t="s">
        <v>93</v>
      </c>
      <c r="F16" s="41" t="s">
        <v>94</v>
      </c>
      <c r="G16" s="41" t="s">
        <v>95</v>
      </c>
      <c r="H16">
        <v>1</v>
      </c>
      <c r="K16" s="5">
        <f>H16*UnbundleCosting!$L$4</f>
        <v>126585.55880452323</v>
      </c>
    </row>
    <row r="17" spans="1:12" x14ac:dyDescent="0.25">
      <c r="A17" s="41">
        <v>803314460</v>
      </c>
      <c r="B17" s="41" t="s">
        <v>92</v>
      </c>
      <c r="C17" s="41" t="s">
        <v>92</v>
      </c>
      <c r="E17" s="41" t="s">
        <v>93</v>
      </c>
      <c r="F17" s="41" t="s">
        <v>94</v>
      </c>
      <c r="G17" s="41" t="s">
        <v>95</v>
      </c>
      <c r="H17">
        <v>1</v>
      </c>
      <c r="K17" s="5">
        <f>H17*UnbundleCosting!$L$4</f>
        <v>126585.55880452323</v>
      </c>
    </row>
    <row r="18" spans="1:12" x14ac:dyDescent="0.25">
      <c r="A18" s="41">
        <v>803348460</v>
      </c>
      <c r="B18" s="41" t="s">
        <v>92</v>
      </c>
      <c r="C18" s="41" t="s">
        <v>92</v>
      </c>
      <c r="E18" s="41" t="s">
        <v>93</v>
      </c>
      <c r="F18" s="41" t="s">
        <v>94</v>
      </c>
      <c r="G18" s="41" t="s">
        <v>95</v>
      </c>
      <c r="H18">
        <v>1</v>
      </c>
      <c r="K18" s="5">
        <f>H18*UnbundleCosting!$L$4</f>
        <v>126585.55880452323</v>
      </c>
    </row>
    <row r="19" spans="1:12" x14ac:dyDescent="0.25">
      <c r="A19" s="41">
        <v>803416460</v>
      </c>
      <c r="B19" s="41" t="s">
        <v>92</v>
      </c>
      <c r="C19" s="41" t="s">
        <v>92</v>
      </c>
      <c r="E19" s="41" t="s">
        <v>93</v>
      </c>
      <c r="F19" s="41" t="s">
        <v>94</v>
      </c>
      <c r="G19" s="41" t="s">
        <v>95</v>
      </c>
      <c r="H19">
        <v>1</v>
      </c>
      <c r="K19" s="5">
        <f>H19*UnbundleCosting!$L$4</f>
        <v>126585.55880452323</v>
      </c>
    </row>
    <row r="20" spans="1:12" x14ac:dyDescent="0.25">
      <c r="A20" s="41">
        <v>803460460</v>
      </c>
      <c r="B20" s="41" t="s">
        <v>92</v>
      </c>
      <c r="C20" s="41" t="s">
        <v>92</v>
      </c>
      <c r="E20" s="41" t="s">
        <v>93</v>
      </c>
      <c r="F20" s="41" t="s">
        <v>94</v>
      </c>
      <c r="G20" s="41" t="s">
        <v>95</v>
      </c>
      <c r="H20">
        <v>1</v>
      </c>
      <c r="K20" s="5">
        <f>H20*UnbundleCosting!$L$4</f>
        <v>126585.55880452323</v>
      </c>
    </row>
    <row r="21" spans="1:12" x14ac:dyDescent="0.25">
      <c r="A21" s="41">
        <v>803553462</v>
      </c>
      <c r="B21" s="41" t="s">
        <v>92</v>
      </c>
      <c r="C21" s="41" t="s">
        <v>92</v>
      </c>
      <c r="E21" s="41" t="s">
        <v>93</v>
      </c>
      <c r="F21" s="41" t="s">
        <v>94</v>
      </c>
      <c r="G21" s="41" t="s">
        <v>95</v>
      </c>
      <c r="H21">
        <v>1</v>
      </c>
      <c r="K21" s="5">
        <f>H21*UnbundleCosting!$L$4</f>
        <v>126585.55880452323</v>
      </c>
    </row>
    <row r="22" spans="1:12" x14ac:dyDescent="0.25">
      <c r="H22" s="1">
        <f>SUM(H2:H21)</f>
        <v>20</v>
      </c>
      <c r="K22" s="50">
        <f>SUM(K2:K21)</f>
        <v>2531711.1760904645</v>
      </c>
      <c r="L22" s="47">
        <f>K22-UnbundleCosting!L3</f>
        <v>0</v>
      </c>
    </row>
    <row r="24" spans="1:12" x14ac:dyDescent="0.25">
      <c r="A24" s="41">
        <v>793252441</v>
      </c>
      <c r="B24" s="41" t="s">
        <v>92</v>
      </c>
      <c r="C24" s="41" t="s">
        <v>15</v>
      </c>
      <c r="E24" s="41" t="s">
        <v>93</v>
      </c>
      <c r="F24" s="41" t="s">
        <v>97</v>
      </c>
      <c r="G24" s="41" t="s">
        <v>95</v>
      </c>
      <c r="H24">
        <v>1</v>
      </c>
      <c r="K24" s="5">
        <f>H24*UnbundleCosting!$M$4</f>
        <v>51881.18574286878</v>
      </c>
    </row>
    <row r="25" spans="1:12" x14ac:dyDescent="0.25">
      <c r="A25" s="41">
        <v>793316441</v>
      </c>
      <c r="B25" s="41" t="s">
        <v>92</v>
      </c>
      <c r="C25" s="41" t="s">
        <v>15</v>
      </c>
      <c r="E25" s="41" t="s">
        <v>93</v>
      </c>
      <c r="F25" s="41" t="s">
        <v>97</v>
      </c>
      <c r="G25" s="41" t="s">
        <v>95</v>
      </c>
      <c r="H25">
        <v>1</v>
      </c>
      <c r="K25" s="5">
        <f>H25*UnbundleCosting!$M$4</f>
        <v>51881.18574286878</v>
      </c>
    </row>
    <row r="26" spans="1:12" x14ac:dyDescent="0.25">
      <c r="A26" s="41">
        <v>793478441</v>
      </c>
      <c r="B26" s="41" t="s">
        <v>92</v>
      </c>
      <c r="C26" s="41" t="s">
        <v>15</v>
      </c>
      <c r="E26" s="41" t="s">
        <v>93</v>
      </c>
      <c r="F26" s="41" t="s">
        <v>97</v>
      </c>
      <c r="G26" s="41" t="s">
        <v>95</v>
      </c>
      <c r="H26">
        <v>1</v>
      </c>
      <c r="K26" s="5">
        <f>H26*UnbundleCosting!$M$4</f>
        <v>51881.18574286878</v>
      </c>
    </row>
    <row r="27" spans="1:12" x14ac:dyDescent="0.25">
      <c r="A27" s="41">
        <v>793524441</v>
      </c>
      <c r="B27" s="41" t="s">
        <v>92</v>
      </c>
      <c r="C27" s="41" t="s">
        <v>15</v>
      </c>
      <c r="E27" s="41" t="s">
        <v>93</v>
      </c>
      <c r="F27" s="41" t="s">
        <v>97</v>
      </c>
      <c r="G27" s="41" t="s">
        <v>95</v>
      </c>
      <c r="H27">
        <v>1</v>
      </c>
      <c r="K27" s="5">
        <f>H27*UnbundleCosting!$M$4</f>
        <v>51881.18574286878</v>
      </c>
    </row>
    <row r="28" spans="1:12" x14ac:dyDescent="0.25">
      <c r="A28" s="41">
        <v>793817462</v>
      </c>
      <c r="B28" s="41" t="s">
        <v>92</v>
      </c>
      <c r="C28" s="41" t="s">
        <v>15</v>
      </c>
      <c r="E28" s="41" t="s">
        <v>93</v>
      </c>
      <c r="F28" s="41" t="s">
        <v>97</v>
      </c>
      <c r="G28" s="41" t="s">
        <v>95</v>
      </c>
      <c r="H28">
        <v>1</v>
      </c>
      <c r="K28" s="5">
        <f>H28*UnbundleCosting!$M$4</f>
        <v>51881.18574286878</v>
      </c>
    </row>
    <row r="29" spans="1:12" x14ac:dyDescent="0.25">
      <c r="A29" s="41">
        <v>793859462</v>
      </c>
      <c r="B29" s="41" t="s">
        <v>92</v>
      </c>
      <c r="C29" s="41" t="s">
        <v>15</v>
      </c>
      <c r="E29" s="41" t="s">
        <v>93</v>
      </c>
      <c r="F29" s="41" t="s">
        <v>97</v>
      </c>
      <c r="G29" s="41" t="s">
        <v>95</v>
      </c>
      <c r="H29">
        <v>1</v>
      </c>
      <c r="K29" s="5">
        <f>H29*UnbundleCosting!$M$4</f>
        <v>51881.18574286878</v>
      </c>
    </row>
    <row r="30" spans="1:12" x14ac:dyDescent="0.25">
      <c r="A30" s="41">
        <v>793867441</v>
      </c>
      <c r="B30" s="41" t="s">
        <v>92</v>
      </c>
      <c r="C30" s="41" t="s">
        <v>15</v>
      </c>
      <c r="E30" s="41" t="s">
        <v>93</v>
      </c>
      <c r="F30" s="41" t="s">
        <v>97</v>
      </c>
      <c r="G30" s="41" t="s">
        <v>95</v>
      </c>
      <c r="H30">
        <v>1</v>
      </c>
      <c r="K30" s="5">
        <f>H30*UnbundleCosting!$M$4</f>
        <v>51881.18574286878</v>
      </c>
    </row>
    <row r="31" spans="1:12" x14ac:dyDescent="0.25">
      <c r="A31" s="41">
        <v>793942462</v>
      </c>
      <c r="B31" s="41" t="s">
        <v>92</v>
      </c>
      <c r="C31" s="41" t="s">
        <v>15</v>
      </c>
      <c r="E31" s="41" t="s">
        <v>93</v>
      </c>
      <c r="F31" s="41" t="s">
        <v>97</v>
      </c>
      <c r="G31" s="41" t="s">
        <v>95</v>
      </c>
      <c r="H31">
        <v>1</v>
      </c>
      <c r="K31" s="5">
        <f>H31*UnbundleCosting!$M$4</f>
        <v>51881.18574286878</v>
      </c>
    </row>
    <row r="32" spans="1:12" x14ac:dyDescent="0.25">
      <c r="A32" s="41">
        <v>793975462</v>
      </c>
      <c r="B32" s="41" t="s">
        <v>92</v>
      </c>
      <c r="C32" s="41" t="s">
        <v>15</v>
      </c>
      <c r="E32" s="41" t="s">
        <v>93</v>
      </c>
      <c r="F32" s="41" t="s">
        <v>97</v>
      </c>
      <c r="G32" s="41" t="s">
        <v>95</v>
      </c>
      <c r="H32">
        <v>1</v>
      </c>
      <c r="K32" s="5">
        <f>H32*UnbundleCosting!$M$4</f>
        <v>51881.18574286878</v>
      </c>
    </row>
    <row r="33" spans="1:12" x14ac:dyDescent="0.25">
      <c r="A33" s="41">
        <v>794022462</v>
      </c>
      <c r="B33" s="41" t="s">
        <v>92</v>
      </c>
      <c r="C33" s="41" t="s">
        <v>15</v>
      </c>
      <c r="E33" s="41" t="s">
        <v>93</v>
      </c>
      <c r="F33" s="41" t="s">
        <v>97</v>
      </c>
      <c r="G33" s="41" t="s">
        <v>95</v>
      </c>
      <c r="H33">
        <v>1</v>
      </c>
      <c r="K33" s="5">
        <f>H33*UnbundleCosting!$M$4</f>
        <v>51881.18574286878</v>
      </c>
    </row>
    <row r="34" spans="1:12" x14ac:dyDescent="0.25">
      <c r="A34" s="41">
        <v>794754441</v>
      </c>
      <c r="B34" s="41" t="s">
        <v>92</v>
      </c>
      <c r="C34" s="41" t="s">
        <v>15</v>
      </c>
      <c r="E34" s="41" t="s">
        <v>93</v>
      </c>
      <c r="F34" s="41" t="s">
        <v>97</v>
      </c>
      <c r="G34" s="41" t="s">
        <v>95</v>
      </c>
      <c r="H34">
        <v>1</v>
      </c>
      <c r="K34" s="5">
        <f>H34*UnbundleCosting!$M$4</f>
        <v>51881.18574286878</v>
      </c>
    </row>
    <row r="35" spans="1:12" x14ac:dyDescent="0.25">
      <c r="A35" s="41">
        <v>803114460</v>
      </c>
      <c r="B35" s="41" t="s">
        <v>92</v>
      </c>
      <c r="C35" s="41" t="s">
        <v>15</v>
      </c>
      <c r="E35" s="41" t="s">
        <v>93</v>
      </c>
      <c r="F35" s="41" t="s">
        <v>97</v>
      </c>
      <c r="G35" s="41" t="s">
        <v>95</v>
      </c>
      <c r="H35">
        <v>1</v>
      </c>
      <c r="K35" s="5">
        <f>H35*UnbundleCosting!$M$4</f>
        <v>51881.18574286878</v>
      </c>
    </row>
    <row r="36" spans="1:12" x14ac:dyDescent="0.25">
      <c r="A36" s="41">
        <v>803151460</v>
      </c>
      <c r="B36" s="41" t="s">
        <v>92</v>
      </c>
      <c r="C36" s="41" t="s">
        <v>15</v>
      </c>
      <c r="E36" s="41" t="s">
        <v>93</v>
      </c>
      <c r="F36" s="41" t="s">
        <v>97</v>
      </c>
      <c r="G36" s="41" t="s">
        <v>95</v>
      </c>
      <c r="H36">
        <v>1</v>
      </c>
      <c r="K36" s="5">
        <f>H36*UnbundleCosting!$M$4</f>
        <v>51881.18574286878</v>
      </c>
    </row>
    <row r="37" spans="1:12" x14ac:dyDescent="0.25">
      <c r="A37" s="41">
        <v>803229460</v>
      </c>
      <c r="B37" s="41" t="s">
        <v>92</v>
      </c>
      <c r="C37" s="41" t="s">
        <v>15</v>
      </c>
      <c r="E37" s="41" t="s">
        <v>93</v>
      </c>
      <c r="F37" s="41" t="s">
        <v>97</v>
      </c>
      <c r="G37" s="41" t="s">
        <v>95</v>
      </c>
      <c r="H37">
        <v>1</v>
      </c>
      <c r="K37" s="5">
        <f>H37*UnbundleCosting!$M$4</f>
        <v>51881.18574286878</v>
      </c>
    </row>
    <row r="38" spans="1:12" x14ac:dyDescent="0.25">
      <c r="A38" s="41">
        <v>803265460</v>
      </c>
      <c r="B38" s="41" t="s">
        <v>92</v>
      </c>
      <c r="C38" s="41" t="s">
        <v>15</v>
      </c>
      <c r="E38" s="41" t="s">
        <v>93</v>
      </c>
      <c r="F38" s="41" t="s">
        <v>97</v>
      </c>
      <c r="G38" s="41" t="s">
        <v>95</v>
      </c>
      <c r="H38">
        <v>1</v>
      </c>
      <c r="K38" s="5">
        <f>H38*UnbundleCosting!$M$4</f>
        <v>51881.18574286878</v>
      </c>
    </row>
    <row r="39" spans="1:12" x14ac:dyDescent="0.25">
      <c r="A39" s="41">
        <v>803328460</v>
      </c>
      <c r="B39" s="41" t="s">
        <v>92</v>
      </c>
      <c r="C39" s="41" t="s">
        <v>15</v>
      </c>
      <c r="E39" s="41" t="s">
        <v>93</v>
      </c>
      <c r="F39" s="41" t="s">
        <v>97</v>
      </c>
      <c r="G39" s="41" t="s">
        <v>95</v>
      </c>
      <c r="H39">
        <v>1</v>
      </c>
      <c r="K39" s="5">
        <f>H39*UnbundleCosting!$M$4</f>
        <v>51881.18574286878</v>
      </c>
    </row>
    <row r="40" spans="1:12" x14ac:dyDescent="0.25">
      <c r="A40" s="41">
        <v>803364460</v>
      </c>
      <c r="B40" s="41" t="s">
        <v>92</v>
      </c>
      <c r="C40" s="41" t="s">
        <v>15</v>
      </c>
      <c r="E40" s="41" t="s">
        <v>93</v>
      </c>
      <c r="F40" s="41" t="s">
        <v>97</v>
      </c>
      <c r="G40" s="41" t="s">
        <v>95</v>
      </c>
      <c r="H40">
        <v>1</v>
      </c>
      <c r="K40" s="5">
        <f>H40*UnbundleCosting!$M$4</f>
        <v>51881.18574286878</v>
      </c>
    </row>
    <row r="41" spans="1:12" x14ac:dyDescent="0.25">
      <c r="A41" s="41">
        <v>803432460</v>
      </c>
      <c r="B41" s="41" t="s">
        <v>92</v>
      </c>
      <c r="C41" s="41" t="s">
        <v>15</v>
      </c>
      <c r="E41" s="41" t="s">
        <v>93</v>
      </c>
      <c r="F41" s="41" t="s">
        <v>97</v>
      </c>
      <c r="G41" s="41" t="s">
        <v>95</v>
      </c>
      <c r="H41">
        <v>1</v>
      </c>
      <c r="K41" s="5">
        <f>H41*UnbundleCosting!$M$4</f>
        <v>51881.18574286878</v>
      </c>
    </row>
    <row r="42" spans="1:12" x14ac:dyDescent="0.25">
      <c r="A42" s="41">
        <v>803476460</v>
      </c>
      <c r="B42" s="41" t="s">
        <v>92</v>
      </c>
      <c r="C42" s="41" t="s">
        <v>15</v>
      </c>
      <c r="E42" s="41" t="s">
        <v>93</v>
      </c>
      <c r="F42" s="41" t="s">
        <v>97</v>
      </c>
      <c r="G42" s="41" t="s">
        <v>95</v>
      </c>
      <c r="H42">
        <v>1</v>
      </c>
      <c r="K42" s="5">
        <f>H42*UnbundleCosting!$M$4</f>
        <v>51881.18574286878</v>
      </c>
    </row>
    <row r="43" spans="1:12" x14ac:dyDescent="0.25">
      <c r="A43" s="41">
        <v>803559462</v>
      </c>
      <c r="B43" s="41" t="s">
        <v>92</v>
      </c>
      <c r="C43" s="41" t="s">
        <v>15</v>
      </c>
      <c r="E43" s="41" t="s">
        <v>93</v>
      </c>
      <c r="F43" s="41" t="s">
        <v>97</v>
      </c>
      <c r="G43" s="41" t="s">
        <v>95</v>
      </c>
      <c r="H43">
        <v>1</v>
      </c>
      <c r="K43" s="5">
        <f>H43*UnbundleCosting!$M$4</f>
        <v>51881.18574286878</v>
      </c>
    </row>
    <row r="44" spans="1:12" x14ac:dyDescent="0.25">
      <c r="H44" s="1">
        <f>SUM(H24:H43)</f>
        <v>20</v>
      </c>
      <c r="K44" s="50">
        <f>SUM(K24:K43)</f>
        <v>1037623.7148573759</v>
      </c>
      <c r="L44" s="47">
        <f>K44-UnbundleCosting!M3</f>
        <v>0</v>
      </c>
    </row>
    <row r="46" spans="1:12" x14ac:dyDescent="0.25">
      <c r="A46" s="41">
        <v>793243441</v>
      </c>
      <c r="B46" s="41" t="s">
        <v>92</v>
      </c>
      <c r="C46" s="41" t="s">
        <v>20</v>
      </c>
      <c r="E46" s="41" t="s">
        <v>93</v>
      </c>
      <c r="F46" s="41" t="s">
        <v>96</v>
      </c>
      <c r="G46" s="41" t="s">
        <v>95</v>
      </c>
      <c r="H46">
        <v>1</v>
      </c>
      <c r="K46" s="5">
        <f>H46*UnbundleCosting!$K$4</f>
        <v>28340.050478624598</v>
      </c>
    </row>
    <row r="47" spans="1:12" x14ac:dyDescent="0.25">
      <c r="A47" s="41">
        <v>793333441</v>
      </c>
      <c r="B47" s="41" t="s">
        <v>92</v>
      </c>
      <c r="C47" s="41" t="s">
        <v>20</v>
      </c>
      <c r="E47" s="41" t="s">
        <v>93</v>
      </c>
      <c r="F47" s="41" t="s">
        <v>96</v>
      </c>
      <c r="G47" s="41" t="s">
        <v>95</v>
      </c>
      <c r="H47">
        <v>1</v>
      </c>
      <c r="K47" s="5">
        <f>H47*UnbundleCosting!$K$4</f>
        <v>28340.050478624598</v>
      </c>
    </row>
    <row r="48" spans="1:12" x14ac:dyDescent="0.25">
      <c r="A48" s="41">
        <v>793491441</v>
      </c>
      <c r="B48" s="41" t="s">
        <v>92</v>
      </c>
      <c r="C48" s="41" t="s">
        <v>20</v>
      </c>
      <c r="E48" s="41" t="s">
        <v>93</v>
      </c>
      <c r="F48" s="41" t="s">
        <v>96</v>
      </c>
      <c r="G48" s="41" t="s">
        <v>95</v>
      </c>
      <c r="H48">
        <v>1</v>
      </c>
      <c r="K48" s="5">
        <f>H48*UnbundleCosting!$K$4</f>
        <v>28340.050478624598</v>
      </c>
    </row>
    <row r="49" spans="1:11" x14ac:dyDescent="0.25">
      <c r="A49" s="41">
        <v>793515441</v>
      </c>
      <c r="B49" s="41" t="s">
        <v>92</v>
      </c>
      <c r="C49" s="41" t="s">
        <v>20</v>
      </c>
      <c r="E49" s="41" t="s">
        <v>93</v>
      </c>
      <c r="F49" s="41" t="s">
        <v>96</v>
      </c>
      <c r="G49" s="41" t="s">
        <v>95</v>
      </c>
      <c r="H49">
        <v>1</v>
      </c>
      <c r="K49" s="5">
        <f>H49*UnbundleCosting!$K$4</f>
        <v>28340.050478624598</v>
      </c>
    </row>
    <row r="50" spans="1:11" x14ac:dyDescent="0.25">
      <c r="A50" s="41">
        <v>793830462</v>
      </c>
      <c r="B50" s="41" t="s">
        <v>92</v>
      </c>
      <c r="C50" s="41" t="s">
        <v>20</v>
      </c>
      <c r="E50" s="41" t="s">
        <v>93</v>
      </c>
      <c r="F50" s="41" t="s">
        <v>96</v>
      </c>
      <c r="G50" s="41" t="s">
        <v>95</v>
      </c>
      <c r="H50">
        <v>1</v>
      </c>
      <c r="K50" s="5">
        <f>H50*UnbundleCosting!$K$4</f>
        <v>28340.050478624598</v>
      </c>
    </row>
    <row r="51" spans="1:11" x14ac:dyDescent="0.25">
      <c r="A51" s="41">
        <v>793850462</v>
      </c>
      <c r="B51" s="41" t="s">
        <v>92</v>
      </c>
      <c r="C51" s="41" t="s">
        <v>20</v>
      </c>
      <c r="E51" s="41" t="s">
        <v>93</v>
      </c>
      <c r="F51" s="41" t="s">
        <v>96</v>
      </c>
      <c r="G51" s="41" t="s">
        <v>95</v>
      </c>
      <c r="H51">
        <v>1</v>
      </c>
      <c r="K51" s="5">
        <f>H51*UnbundleCosting!$K$4</f>
        <v>28340.050478624598</v>
      </c>
    </row>
    <row r="52" spans="1:11" x14ac:dyDescent="0.25">
      <c r="A52" s="41">
        <v>793858441</v>
      </c>
      <c r="B52" s="41" t="s">
        <v>92</v>
      </c>
      <c r="C52" s="41" t="s">
        <v>20</v>
      </c>
      <c r="E52" s="41" t="s">
        <v>93</v>
      </c>
      <c r="F52" s="41" t="s">
        <v>96</v>
      </c>
      <c r="G52" s="41" t="s">
        <v>95</v>
      </c>
      <c r="H52">
        <v>1</v>
      </c>
      <c r="K52" s="5">
        <f>H52*UnbundleCosting!$K$4</f>
        <v>28340.050478624598</v>
      </c>
    </row>
    <row r="53" spans="1:11" x14ac:dyDescent="0.25">
      <c r="A53" s="41">
        <v>793933462</v>
      </c>
      <c r="B53" s="41" t="s">
        <v>92</v>
      </c>
      <c r="C53" s="41" t="s">
        <v>20</v>
      </c>
      <c r="E53" s="41" t="s">
        <v>93</v>
      </c>
      <c r="F53" s="41" t="s">
        <v>96</v>
      </c>
      <c r="G53" s="41" t="s">
        <v>95</v>
      </c>
      <c r="H53">
        <v>1</v>
      </c>
      <c r="K53" s="5">
        <f>H53*UnbundleCosting!$K$4</f>
        <v>28340.050478624598</v>
      </c>
    </row>
    <row r="54" spans="1:11" x14ac:dyDescent="0.25">
      <c r="A54" s="41">
        <v>793966462</v>
      </c>
      <c r="B54" s="41" t="s">
        <v>92</v>
      </c>
      <c r="C54" s="41" t="s">
        <v>20</v>
      </c>
      <c r="E54" s="41" t="s">
        <v>93</v>
      </c>
      <c r="F54" s="41" t="s">
        <v>96</v>
      </c>
      <c r="G54" s="41" t="s">
        <v>95</v>
      </c>
      <c r="H54">
        <v>1</v>
      </c>
      <c r="K54" s="5">
        <f>H54*UnbundleCosting!$K$4</f>
        <v>28340.050478624598</v>
      </c>
    </row>
    <row r="55" spans="1:11" x14ac:dyDescent="0.25">
      <c r="A55" s="41">
        <v>794013462</v>
      </c>
      <c r="B55" s="41" t="s">
        <v>92</v>
      </c>
      <c r="C55" s="41" t="s">
        <v>20</v>
      </c>
      <c r="E55" s="41" t="s">
        <v>93</v>
      </c>
      <c r="F55" s="41" t="s">
        <v>96</v>
      </c>
      <c r="G55" s="41" t="s">
        <v>95</v>
      </c>
      <c r="H55">
        <v>1</v>
      </c>
      <c r="K55" s="5">
        <f>H55*UnbundleCosting!$K$4</f>
        <v>28340.050478624598</v>
      </c>
    </row>
    <row r="56" spans="1:11" x14ac:dyDescent="0.25">
      <c r="A56" s="41">
        <v>794745441</v>
      </c>
      <c r="B56" s="41" t="s">
        <v>92</v>
      </c>
      <c r="C56" s="41" t="s">
        <v>20</v>
      </c>
      <c r="E56" s="41" t="s">
        <v>93</v>
      </c>
      <c r="F56" s="41" t="s">
        <v>96</v>
      </c>
      <c r="G56" s="41" t="s">
        <v>95</v>
      </c>
      <c r="H56">
        <v>1</v>
      </c>
      <c r="K56" s="5">
        <f>H56*UnbundleCosting!$K$4</f>
        <v>28340.050478624598</v>
      </c>
    </row>
    <row r="57" spans="1:11" x14ac:dyDescent="0.25">
      <c r="A57" s="41">
        <v>803106460</v>
      </c>
      <c r="B57" s="41" t="s">
        <v>92</v>
      </c>
      <c r="C57" s="41" t="s">
        <v>20</v>
      </c>
      <c r="E57" s="41" t="s">
        <v>93</v>
      </c>
      <c r="F57" s="41" t="s">
        <v>96</v>
      </c>
      <c r="G57" s="41" t="s">
        <v>95</v>
      </c>
      <c r="H57">
        <v>1</v>
      </c>
      <c r="K57" s="5">
        <f>H57*UnbundleCosting!$K$4</f>
        <v>28340.050478624598</v>
      </c>
    </row>
    <row r="58" spans="1:11" x14ac:dyDescent="0.25">
      <c r="A58" s="41">
        <v>803143460</v>
      </c>
      <c r="B58" s="41" t="s">
        <v>92</v>
      </c>
      <c r="C58" s="41" t="s">
        <v>20</v>
      </c>
      <c r="E58" s="41" t="s">
        <v>93</v>
      </c>
      <c r="F58" s="41" t="s">
        <v>96</v>
      </c>
      <c r="G58" s="41" t="s">
        <v>95</v>
      </c>
      <c r="H58">
        <v>1</v>
      </c>
      <c r="K58" s="5">
        <f>H58*UnbundleCosting!$K$4</f>
        <v>28340.050478624598</v>
      </c>
    </row>
    <row r="59" spans="1:11" x14ac:dyDescent="0.25">
      <c r="A59" s="41">
        <v>803221460</v>
      </c>
      <c r="B59" s="41" t="s">
        <v>92</v>
      </c>
      <c r="C59" s="41" t="s">
        <v>20</v>
      </c>
      <c r="E59" s="41" t="s">
        <v>93</v>
      </c>
      <c r="F59" s="41" t="s">
        <v>96</v>
      </c>
      <c r="G59" s="41" t="s">
        <v>95</v>
      </c>
      <c r="H59">
        <v>1</v>
      </c>
      <c r="K59" s="5">
        <f>H59*UnbundleCosting!$K$4</f>
        <v>28340.050478624598</v>
      </c>
    </row>
    <row r="60" spans="1:11" x14ac:dyDescent="0.25">
      <c r="A60" s="41">
        <v>803257460</v>
      </c>
      <c r="B60" s="41" t="s">
        <v>92</v>
      </c>
      <c r="C60" s="41" t="s">
        <v>20</v>
      </c>
      <c r="E60" s="41" t="s">
        <v>93</v>
      </c>
      <c r="F60" s="41" t="s">
        <v>96</v>
      </c>
      <c r="G60" s="41" t="s">
        <v>95</v>
      </c>
      <c r="H60">
        <v>1</v>
      </c>
      <c r="K60" s="5">
        <f>H60*UnbundleCosting!$K$4</f>
        <v>28340.050478624598</v>
      </c>
    </row>
    <row r="61" spans="1:11" x14ac:dyDescent="0.25">
      <c r="A61" s="41">
        <v>803320460</v>
      </c>
      <c r="B61" s="41" t="s">
        <v>92</v>
      </c>
      <c r="C61" s="41" t="s">
        <v>20</v>
      </c>
      <c r="E61" s="41" t="s">
        <v>93</v>
      </c>
      <c r="F61" s="41" t="s">
        <v>96</v>
      </c>
      <c r="G61" s="41" t="s">
        <v>95</v>
      </c>
      <c r="H61">
        <v>1</v>
      </c>
      <c r="K61" s="5">
        <f>H61*UnbundleCosting!$K$4</f>
        <v>28340.050478624598</v>
      </c>
    </row>
    <row r="62" spans="1:11" x14ac:dyDescent="0.25">
      <c r="A62" s="41">
        <v>803356460</v>
      </c>
      <c r="B62" s="41" t="s">
        <v>92</v>
      </c>
      <c r="C62" s="41" t="s">
        <v>20</v>
      </c>
      <c r="E62" s="41" t="s">
        <v>93</v>
      </c>
      <c r="F62" s="41" t="s">
        <v>96</v>
      </c>
      <c r="G62" s="41" t="s">
        <v>95</v>
      </c>
      <c r="H62">
        <v>1</v>
      </c>
      <c r="K62" s="5">
        <f>H62*UnbundleCosting!$K$4</f>
        <v>28340.050478624598</v>
      </c>
    </row>
    <row r="63" spans="1:11" x14ac:dyDescent="0.25">
      <c r="A63" s="41">
        <v>803424460</v>
      </c>
      <c r="B63" s="41" t="s">
        <v>92</v>
      </c>
      <c r="C63" s="41" t="s">
        <v>20</v>
      </c>
      <c r="E63" s="41" t="s">
        <v>93</v>
      </c>
      <c r="F63" s="41" t="s">
        <v>96</v>
      </c>
      <c r="G63" s="41" t="s">
        <v>95</v>
      </c>
      <c r="H63">
        <v>1</v>
      </c>
      <c r="K63" s="5">
        <f>H63*UnbundleCosting!$K$4</f>
        <v>28340.050478624598</v>
      </c>
    </row>
    <row r="64" spans="1:11" x14ac:dyDescent="0.25">
      <c r="A64" s="41">
        <v>803468460</v>
      </c>
      <c r="B64" s="41" t="s">
        <v>92</v>
      </c>
      <c r="C64" s="41" t="s">
        <v>20</v>
      </c>
      <c r="E64" s="41" t="s">
        <v>93</v>
      </c>
      <c r="F64" s="41" t="s">
        <v>96</v>
      </c>
      <c r="G64" s="41" t="s">
        <v>95</v>
      </c>
      <c r="H64">
        <v>1</v>
      </c>
      <c r="K64" s="5">
        <f>H64*UnbundleCosting!$K$4</f>
        <v>28340.050478624598</v>
      </c>
    </row>
    <row r="65" spans="1:12" x14ac:dyDescent="0.25">
      <c r="A65" s="41">
        <v>803571462</v>
      </c>
      <c r="B65" s="41" t="s">
        <v>92</v>
      </c>
      <c r="C65" s="41" t="s">
        <v>20</v>
      </c>
      <c r="E65" s="41" t="s">
        <v>93</v>
      </c>
      <c r="F65" s="41" t="s">
        <v>96</v>
      </c>
      <c r="G65" s="41" t="s">
        <v>95</v>
      </c>
      <c r="H65">
        <v>1</v>
      </c>
      <c r="K65" s="5">
        <f>H65*UnbundleCosting!$K$4</f>
        <v>28340.050478624598</v>
      </c>
    </row>
    <row r="66" spans="1:12" x14ac:dyDescent="0.25">
      <c r="H66" s="1">
        <f>SUM(H46:H65)</f>
        <v>20</v>
      </c>
      <c r="K66" s="50">
        <f>SUM(K46:K65)</f>
        <v>566801.00957249186</v>
      </c>
      <c r="L66" s="47">
        <f>K66-UnbundleCosting!K3</f>
        <v>0</v>
      </c>
    </row>
  </sheetData>
  <sortState ref="A2:K61">
    <sortCondition ref="C2:C61"/>
    <sortCondition ref="F2:F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UnbundleCosting</vt:lpstr>
      <vt:lpstr>Finance_Invoices</vt:lpstr>
      <vt:lpstr>Values FAR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Rex</dc:creator>
  <cp:lastModifiedBy>Veronica Visser</cp:lastModifiedBy>
  <dcterms:created xsi:type="dcterms:W3CDTF">2016-08-06T19:39:25Z</dcterms:created>
  <dcterms:modified xsi:type="dcterms:W3CDTF">2019-07-10T13:49:00Z</dcterms:modified>
</cp:coreProperties>
</file>