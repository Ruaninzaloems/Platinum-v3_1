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StephenBakker\Documents\2024\EMS Transactions\"/>
    </mc:Choice>
  </mc:AlternateContent>
  <xr:revisionPtr revIDLastSave="0" documentId="13_ncr:1_{DB6910E2-02B5-476B-9F2A-1E08802D0F7D}" xr6:coauthVersionLast="47" xr6:coauthVersionMax="47" xr10:uidLastSave="{00000000-0000-0000-0000-000000000000}"/>
  <bookViews>
    <workbookView xWindow="28680" yWindow="-120" windowWidth="29040" windowHeight="15720" xr2:uid="{17B9F7F4-1714-4A1A-A692-9C18D1548C6C}"/>
  </bookViews>
  <sheets>
    <sheet name="FAR" sheetId="1" r:id="rId1"/>
    <sheet name="1" sheetId="18" r:id="rId2"/>
    <sheet name="2" sheetId="19" r:id="rId3"/>
    <sheet name="3" sheetId="20" r:id="rId4"/>
    <sheet name="4" sheetId="21" r:id="rId5"/>
    <sheet name="5" sheetId="22" r:id="rId6"/>
    <sheet name="6" sheetId="8" r:id="rId7"/>
    <sheet name="7.1" sheetId="5" r:id="rId8"/>
    <sheet name="7.2" sheetId="6" r:id="rId9"/>
    <sheet name="7.3" sheetId="7" r:id="rId10"/>
    <sheet name="8" sheetId="3" r:id="rId11"/>
    <sheet name="9" sheetId="9" r:id="rId12"/>
    <sheet name="10.1" sheetId="10" r:id="rId13"/>
    <sheet name="10.2" sheetId="14" r:id="rId14"/>
    <sheet name="11.1" sheetId="13" r:id="rId15"/>
    <sheet name="11.2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9" i="1" l="1"/>
  <c r="D125" i="1"/>
  <c r="D124" i="1"/>
  <c r="D587" i="1" l="1"/>
  <c r="C587" i="1"/>
  <c r="D586" i="1"/>
  <c r="C586" i="1"/>
  <c r="D585" i="1"/>
  <c r="C585" i="1"/>
  <c r="D584" i="1"/>
  <c r="C584" i="1"/>
  <c r="D583" i="1"/>
  <c r="C583" i="1"/>
  <c r="D577" i="1"/>
  <c r="C577" i="1"/>
  <c r="D581" i="1"/>
  <c r="C581" i="1"/>
  <c r="D580" i="1"/>
  <c r="C580" i="1"/>
  <c r="D579" i="1"/>
  <c r="C579" i="1"/>
  <c r="D575" i="1"/>
  <c r="C575" i="1"/>
  <c r="D574" i="1"/>
  <c r="C574" i="1"/>
  <c r="D571" i="1"/>
  <c r="C571" i="1"/>
  <c r="EP559" i="1"/>
  <c r="EO559" i="1"/>
  <c r="EN559" i="1"/>
  <c r="EM557" i="1"/>
  <c r="EQ557" i="1" s="1"/>
  <c r="EM556" i="1"/>
  <c r="EQ556" i="1" s="1"/>
  <c r="EL557" i="1"/>
  <c r="EL556" i="1"/>
  <c r="EG557" i="1"/>
  <c r="EG556" i="1"/>
  <c r="EF557" i="1"/>
  <c r="EF556" i="1"/>
  <c r="EE557" i="1"/>
  <c r="EE556" i="1"/>
  <c r="DS557" i="1"/>
  <c r="ED557" i="1" s="1"/>
  <c r="ED559" i="1" s="1"/>
  <c r="DS556" i="1"/>
  <c r="DR557" i="1"/>
  <c r="DR556" i="1"/>
  <c r="DN557" i="1"/>
  <c r="DO557" i="1" s="1"/>
  <c r="DN556" i="1"/>
  <c r="DO556" i="1" s="1"/>
  <c r="DC557" i="1"/>
  <c r="DC556" i="1"/>
  <c r="B567" i="1"/>
  <c r="F562" i="1"/>
  <c r="C562" i="1"/>
  <c r="D562" i="1" s="1"/>
  <c r="E562" i="1" s="1"/>
  <c r="EJ559" i="1"/>
  <c r="EI559" i="1"/>
  <c r="EH559" i="1"/>
  <c r="EC559" i="1"/>
  <c r="EB559" i="1"/>
  <c r="EA559" i="1"/>
  <c r="DZ559" i="1"/>
  <c r="DY559" i="1"/>
  <c r="DX559" i="1"/>
  <c r="DW559" i="1"/>
  <c r="DV559" i="1"/>
  <c r="DU559" i="1"/>
  <c r="DT559" i="1"/>
  <c r="DM559" i="1"/>
  <c r="DL559" i="1"/>
  <c r="DJ559" i="1"/>
  <c r="DI559" i="1"/>
  <c r="DH559" i="1"/>
  <c r="DG559" i="1"/>
  <c r="DF559" i="1"/>
  <c r="DE559" i="1"/>
  <c r="DD559" i="1"/>
  <c r="DB557" i="1"/>
  <c r="BG557" i="1"/>
  <c r="BE557" i="1" s="1"/>
  <c r="BF557" i="1" s="1"/>
  <c r="BC557" i="1"/>
  <c r="DB556" i="1"/>
  <c r="BG556" i="1"/>
  <c r="BE556" i="1" s="1"/>
  <c r="BF556" i="1" s="1"/>
  <c r="BC556" i="1"/>
  <c r="D554" i="1"/>
  <c r="C554" i="1"/>
  <c r="D551" i="1"/>
  <c r="C551" i="1"/>
  <c r="D550" i="1"/>
  <c r="C550" i="1"/>
  <c r="H24" i="13"/>
  <c r="H27" i="13"/>
  <c r="H20" i="13"/>
  <c r="H8" i="13"/>
  <c r="G46" i="13"/>
  <c r="G39" i="13"/>
  <c r="G27" i="13"/>
  <c r="G20" i="13"/>
  <c r="G8" i="13"/>
  <c r="D553" i="1"/>
  <c r="C553" i="1"/>
  <c r="D552" i="1"/>
  <c r="C552" i="1"/>
  <c r="D548" i="1"/>
  <c r="C548" i="1"/>
  <c r="D547" i="1"/>
  <c r="C547" i="1"/>
  <c r="D546" i="1"/>
  <c r="C546" i="1"/>
  <c r="D545" i="1"/>
  <c r="D544" i="1"/>
  <c r="C545" i="1"/>
  <c r="C544" i="1"/>
  <c r="D541" i="1"/>
  <c r="C541" i="1"/>
  <c r="EG527" i="1"/>
  <c r="EG526" i="1"/>
  <c r="EF527" i="1"/>
  <c r="EF526" i="1"/>
  <c r="EE527" i="1"/>
  <c r="EE526" i="1"/>
  <c r="DS527" i="1"/>
  <c r="DS526" i="1"/>
  <c r="DR527" i="1"/>
  <c r="DR526" i="1"/>
  <c r="DN527" i="1"/>
  <c r="DN526" i="1"/>
  <c r="DC527" i="1"/>
  <c r="DC526" i="1"/>
  <c r="B537" i="1"/>
  <c r="C532" i="1"/>
  <c r="D532" i="1" s="1"/>
  <c r="E532" i="1" s="1"/>
  <c r="EJ529" i="1"/>
  <c r="EI529" i="1"/>
  <c r="EH529" i="1"/>
  <c r="EC529" i="1"/>
  <c r="EB529" i="1"/>
  <c r="EA529" i="1"/>
  <c r="DZ529" i="1"/>
  <c r="DY529" i="1"/>
  <c r="DX529" i="1"/>
  <c r="DW529" i="1"/>
  <c r="DV529" i="1"/>
  <c r="DU529" i="1"/>
  <c r="DT529" i="1"/>
  <c r="DM529" i="1"/>
  <c r="DL529" i="1"/>
  <c r="DJ529" i="1"/>
  <c r="DI529" i="1"/>
  <c r="DH529" i="1"/>
  <c r="DG529" i="1"/>
  <c r="DF529" i="1"/>
  <c r="DE529" i="1"/>
  <c r="DD529" i="1"/>
  <c r="DB527" i="1"/>
  <c r="BG527" i="1"/>
  <c r="BE527" i="1" s="1"/>
  <c r="BF527" i="1" s="1"/>
  <c r="BC527" i="1"/>
  <c r="DB526" i="1"/>
  <c r="BG526" i="1"/>
  <c r="BE526" i="1" s="1"/>
  <c r="BF526" i="1" s="1"/>
  <c r="BC526" i="1"/>
  <c r="D517" i="1"/>
  <c r="C517" i="1"/>
  <c r="D523" i="1"/>
  <c r="C523" i="1"/>
  <c r="D522" i="1"/>
  <c r="D520" i="1"/>
  <c r="C520" i="1"/>
  <c r="D518" i="1"/>
  <c r="C518" i="1"/>
  <c r="E584" i="1" l="1"/>
  <c r="E583" i="1"/>
  <c r="E585" i="1"/>
  <c r="E577" i="1"/>
  <c r="E571" i="1"/>
  <c r="E575" i="1"/>
  <c r="E574" i="1"/>
  <c r="E554" i="1"/>
  <c r="DS559" i="1"/>
  <c r="E579" i="1"/>
  <c r="EK527" i="1"/>
  <c r="B566" i="1"/>
  <c r="EL559" i="1"/>
  <c r="E580" i="1"/>
  <c r="EF559" i="1"/>
  <c r="E548" i="1"/>
  <c r="E586" i="1"/>
  <c r="DK557" i="1"/>
  <c r="DP557" i="1" s="1"/>
  <c r="DR559" i="1"/>
  <c r="EK557" i="1"/>
  <c r="ER557" i="1" s="1"/>
  <c r="E550" i="1"/>
  <c r="E581" i="1"/>
  <c r="E587" i="1"/>
  <c r="EM559" i="1"/>
  <c r="EQ559" i="1"/>
  <c r="EK556" i="1"/>
  <c r="DC559" i="1"/>
  <c r="DO559" i="1"/>
  <c r="DK556" i="1"/>
  <c r="E551" i="1"/>
  <c r="DN559" i="1"/>
  <c r="EG559" i="1"/>
  <c r="E545" i="1"/>
  <c r="E547" i="1"/>
  <c r="E553" i="1"/>
  <c r="E552" i="1"/>
  <c r="E546" i="1"/>
  <c r="DS529" i="1"/>
  <c r="EF529" i="1"/>
  <c r="E541" i="1"/>
  <c r="E544" i="1"/>
  <c r="H46" i="13"/>
  <c r="DR529" i="1"/>
  <c r="DO526" i="1"/>
  <c r="DK526" i="1" s="1"/>
  <c r="DP526" i="1" s="1"/>
  <c r="E520" i="1"/>
  <c r="DN529" i="1"/>
  <c r="F532" i="1"/>
  <c r="B536" i="1"/>
  <c r="EG529" i="1"/>
  <c r="ED527" i="1"/>
  <c r="DC529" i="1"/>
  <c r="EK526" i="1"/>
  <c r="DO527" i="1"/>
  <c r="ER556" i="1" l="1"/>
  <c r="ER559" i="1" s="1"/>
  <c r="EK559" i="1"/>
  <c r="DP556" i="1"/>
  <c r="DP559" i="1" s="1"/>
  <c r="DK559" i="1"/>
  <c r="DO529" i="1"/>
  <c r="ER526" i="1"/>
  <c r="EK529" i="1"/>
  <c r="ER527" i="1"/>
  <c r="ED529" i="1"/>
  <c r="DK527" i="1"/>
  <c r="ER529" i="1" l="1"/>
  <c r="DP527" i="1"/>
  <c r="DP529" i="1" s="1"/>
  <c r="DK529" i="1"/>
  <c r="D514" i="1" l="1"/>
  <c r="C514" i="1"/>
  <c r="EP510" i="1"/>
  <c r="EO510" i="1"/>
  <c r="EN510" i="1"/>
  <c r="EM509" i="1"/>
  <c r="EQ509" i="1" s="1"/>
  <c r="EM508" i="1"/>
  <c r="EL509" i="1"/>
  <c r="EL508" i="1"/>
  <c r="EG509" i="1"/>
  <c r="EG508" i="1"/>
  <c r="EF509" i="1"/>
  <c r="EF508" i="1"/>
  <c r="EE509" i="1"/>
  <c r="EE508" i="1"/>
  <c r="DS492" i="1"/>
  <c r="CW492" i="1" s="1"/>
  <c r="DS491" i="1"/>
  <c r="DR492" i="1"/>
  <c r="DR491" i="1"/>
  <c r="DS509" i="1"/>
  <c r="CW509" i="1" s="1"/>
  <c r="DS508" i="1"/>
  <c r="CW508" i="1" s="1"/>
  <c r="DR509" i="1"/>
  <c r="DR508" i="1"/>
  <c r="BG509" i="1"/>
  <c r="BE509" i="1" s="1"/>
  <c r="BF509" i="1" s="1"/>
  <c r="BG508" i="1"/>
  <c r="BE508" i="1" s="1"/>
  <c r="BF508" i="1" s="1"/>
  <c r="D524" i="1"/>
  <c r="C524" i="1"/>
  <c r="E523" i="1"/>
  <c r="E522" i="1"/>
  <c r="E518" i="1"/>
  <c r="E517" i="1"/>
  <c r="EJ510" i="1"/>
  <c r="EI510" i="1"/>
  <c r="EH510" i="1"/>
  <c r="D503" i="1"/>
  <c r="C503" i="1"/>
  <c r="D502" i="1"/>
  <c r="D501" i="1"/>
  <c r="D504" i="1" s="1"/>
  <c r="C501" i="1"/>
  <c r="C504" i="1" s="1"/>
  <c r="D500" i="1"/>
  <c r="C500" i="1"/>
  <c r="D497" i="1"/>
  <c r="C497" i="1"/>
  <c r="EG492" i="1"/>
  <c r="EG491" i="1"/>
  <c r="EF492" i="1"/>
  <c r="EF491" i="1"/>
  <c r="EE492" i="1"/>
  <c r="EE491" i="1"/>
  <c r="BG492" i="1"/>
  <c r="BE492" i="1" s="1"/>
  <c r="BF492" i="1" s="1"/>
  <c r="BG491" i="1"/>
  <c r="BE491" i="1" s="1"/>
  <c r="BF491" i="1" s="1"/>
  <c r="EJ493" i="1"/>
  <c r="EI493" i="1"/>
  <c r="EH493" i="1"/>
  <c r="EQ492" i="1"/>
  <c r="EQ491" i="1"/>
  <c r="D482" i="1"/>
  <c r="D481" i="1"/>
  <c r="D480" i="1"/>
  <c r="D479" i="1"/>
  <c r="D478" i="1"/>
  <c r="D476" i="1"/>
  <c r="D475" i="1"/>
  <c r="D474" i="1"/>
  <c r="D473" i="1"/>
  <c r="D472" i="1"/>
  <c r="D470" i="1"/>
  <c r="D469" i="1"/>
  <c r="D468" i="1"/>
  <c r="EM452" i="1"/>
  <c r="EL452" i="1"/>
  <c r="EG452" i="1"/>
  <c r="EF452" i="1"/>
  <c r="EE452" i="1"/>
  <c r="DS452" i="1"/>
  <c r="DR452" i="1"/>
  <c r="DN452" i="1"/>
  <c r="DM452" i="1"/>
  <c r="DD452" i="1"/>
  <c r="DC452" i="1"/>
  <c r="BG452" i="1"/>
  <c r="BE452" i="1" s="1"/>
  <c r="BF452" i="1" s="1"/>
  <c r="AK452" i="1"/>
  <c r="AK451" i="1"/>
  <c r="AK412" i="1"/>
  <c r="AK411" i="1"/>
  <c r="C482" i="1"/>
  <c r="C481" i="1"/>
  <c r="C480" i="1"/>
  <c r="C479" i="1"/>
  <c r="C478" i="1"/>
  <c r="C476" i="1"/>
  <c r="C475" i="1"/>
  <c r="C474" i="1"/>
  <c r="C473" i="1"/>
  <c r="C472" i="1"/>
  <c r="C470" i="1"/>
  <c r="C469" i="1"/>
  <c r="C468" i="1"/>
  <c r="B464" i="1"/>
  <c r="C459" i="1"/>
  <c r="D459" i="1" s="1"/>
  <c r="E459" i="1" s="1"/>
  <c r="D458" i="1"/>
  <c r="E458" i="1" s="1"/>
  <c r="EP456" i="1"/>
  <c r="EO456" i="1"/>
  <c r="EN456" i="1"/>
  <c r="ED456" i="1"/>
  <c r="EC456" i="1"/>
  <c r="EB456" i="1"/>
  <c r="EA456" i="1"/>
  <c r="DZ456" i="1"/>
  <c r="DY456" i="1"/>
  <c r="DX456" i="1"/>
  <c r="DW456" i="1"/>
  <c r="DV456" i="1"/>
  <c r="DU456" i="1"/>
  <c r="DT456" i="1"/>
  <c r="DL456" i="1"/>
  <c r="DJ456" i="1"/>
  <c r="DI456" i="1"/>
  <c r="DH456" i="1"/>
  <c r="DF456" i="1"/>
  <c r="DE456" i="1"/>
  <c r="BC452" i="1"/>
  <c r="EM451" i="1"/>
  <c r="EL451" i="1"/>
  <c r="EG451" i="1"/>
  <c r="EF451" i="1"/>
  <c r="EE451" i="1"/>
  <c r="DS451" i="1"/>
  <c r="DR451" i="1"/>
  <c r="DN451" i="1"/>
  <c r="DM451" i="1"/>
  <c r="DD451" i="1"/>
  <c r="DG451" i="1" s="1"/>
  <c r="DC451" i="1"/>
  <c r="BG451" i="1"/>
  <c r="BE451" i="1" s="1"/>
  <c r="BF451" i="1" s="1"/>
  <c r="BC451" i="1"/>
  <c r="D442" i="1"/>
  <c r="D441" i="1"/>
  <c r="D440" i="1"/>
  <c r="D439" i="1"/>
  <c r="D438" i="1"/>
  <c r="D436" i="1"/>
  <c r="D435" i="1"/>
  <c r="D434" i="1"/>
  <c r="D433" i="1"/>
  <c r="D432" i="1"/>
  <c r="C442" i="1"/>
  <c r="C441" i="1"/>
  <c r="C440" i="1"/>
  <c r="C439" i="1"/>
  <c r="C438" i="1"/>
  <c r="C436" i="1"/>
  <c r="C435" i="1"/>
  <c r="C434" i="1"/>
  <c r="C433" i="1"/>
  <c r="C432" i="1"/>
  <c r="D430" i="1"/>
  <c r="D429" i="1"/>
  <c r="D428" i="1"/>
  <c r="C430" i="1"/>
  <c r="C429" i="1"/>
  <c r="C428" i="1"/>
  <c r="EP416" i="1"/>
  <c r="EO416" i="1"/>
  <c r="EN416" i="1"/>
  <c r="EM412" i="1"/>
  <c r="EQ412" i="1" s="1"/>
  <c r="EM411" i="1"/>
  <c r="EQ411" i="1" s="1"/>
  <c r="EL412" i="1"/>
  <c r="EL411" i="1"/>
  <c r="EG412" i="1"/>
  <c r="EG411" i="1"/>
  <c r="EF412" i="1"/>
  <c r="EF411" i="1"/>
  <c r="EE412" i="1"/>
  <c r="EE411" i="1"/>
  <c r="DS412" i="1"/>
  <c r="DS411" i="1"/>
  <c r="DR412" i="1"/>
  <c r="DR411" i="1"/>
  <c r="DN412" i="1"/>
  <c r="DN411" i="1"/>
  <c r="DM412" i="1"/>
  <c r="DM411" i="1"/>
  <c r="DD412" i="1"/>
  <c r="DG412" i="1" s="1"/>
  <c r="DD411" i="1"/>
  <c r="DC412" i="1"/>
  <c r="DC411" i="1"/>
  <c r="BG412" i="1"/>
  <c r="BE412" i="1" s="1"/>
  <c r="BF412" i="1" s="1"/>
  <c r="BG411" i="1"/>
  <c r="BE411" i="1" s="1"/>
  <c r="BF411" i="1" s="1"/>
  <c r="B424" i="1"/>
  <c r="C419" i="1"/>
  <c r="B423" i="1" s="1"/>
  <c r="D418" i="1"/>
  <c r="E418" i="1" s="1"/>
  <c r="ED416" i="1"/>
  <c r="EC416" i="1"/>
  <c r="EB416" i="1"/>
  <c r="EA416" i="1"/>
  <c r="DZ416" i="1"/>
  <c r="DY416" i="1"/>
  <c r="DX416" i="1"/>
  <c r="DW416" i="1"/>
  <c r="DV416" i="1"/>
  <c r="DU416" i="1"/>
  <c r="DT416" i="1"/>
  <c r="DL416" i="1"/>
  <c r="DJ416" i="1"/>
  <c r="DI416" i="1"/>
  <c r="DH416" i="1"/>
  <c r="DF416" i="1"/>
  <c r="DE416" i="1"/>
  <c r="BC412" i="1"/>
  <c r="BC411" i="1"/>
  <c r="D406" i="1"/>
  <c r="D409" i="1" s="1"/>
  <c r="D405" i="1"/>
  <c r="D408" i="1" s="1"/>
  <c r="D404" i="1"/>
  <c r="D407" i="1" s="1"/>
  <c r="D403" i="1"/>
  <c r="D400" i="1"/>
  <c r="D399" i="1"/>
  <c r="D396" i="1"/>
  <c r="EM380" i="1"/>
  <c r="EL380" i="1"/>
  <c r="EG380" i="1"/>
  <c r="EF380" i="1"/>
  <c r="EE380" i="1"/>
  <c r="DS380" i="1"/>
  <c r="ED380" i="1" s="1"/>
  <c r="DR380" i="1"/>
  <c r="BG380" i="1"/>
  <c r="BE380" i="1" s="1"/>
  <c r="BF380" i="1" s="1"/>
  <c r="AK380" i="1"/>
  <c r="AG380" i="1"/>
  <c r="AF380" i="1" s="1"/>
  <c r="C406" i="1"/>
  <c r="C409" i="1" s="1"/>
  <c r="C405" i="1"/>
  <c r="C408" i="1" s="1"/>
  <c r="C404" i="1"/>
  <c r="C407" i="1" s="1"/>
  <c r="C403" i="1"/>
  <c r="E402" i="1"/>
  <c r="C400" i="1"/>
  <c r="C399" i="1"/>
  <c r="C396" i="1"/>
  <c r="EP381" i="1"/>
  <c r="EO381" i="1"/>
  <c r="EN381" i="1"/>
  <c r="EM379" i="1"/>
  <c r="EQ379" i="1" s="1"/>
  <c r="EL379" i="1"/>
  <c r="EG379" i="1"/>
  <c r="EF379" i="1"/>
  <c r="EE379" i="1"/>
  <c r="DS379" i="1"/>
  <c r="ED379" i="1" s="1"/>
  <c r="DR379" i="1"/>
  <c r="BG379" i="1"/>
  <c r="BE379" i="1" s="1"/>
  <c r="BF379" i="1" s="1"/>
  <c r="AK379" i="1"/>
  <c r="AG379" i="1"/>
  <c r="AF379" i="1" s="1"/>
  <c r="D373" i="1"/>
  <c r="D376" i="1" s="1"/>
  <c r="D372" i="1"/>
  <c r="D375" i="1" s="1"/>
  <c r="D371" i="1"/>
  <c r="D374" i="1" s="1"/>
  <c r="C373" i="1"/>
  <c r="C376" i="1" s="1"/>
  <c r="C372" i="1"/>
  <c r="C375" i="1" s="1"/>
  <c r="C371" i="1"/>
  <c r="C374" i="1" s="1"/>
  <c r="D370" i="1"/>
  <c r="C370" i="1"/>
  <c r="D367" i="1"/>
  <c r="C367" i="1"/>
  <c r="D366" i="1"/>
  <c r="C366" i="1"/>
  <c r="D363" i="1"/>
  <c r="C363" i="1"/>
  <c r="EP348" i="1"/>
  <c r="EO348" i="1"/>
  <c r="EM347" i="1"/>
  <c r="EM346" i="1"/>
  <c r="EL347" i="1"/>
  <c r="EL346" i="1"/>
  <c r="EG347" i="1"/>
  <c r="EG346" i="1"/>
  <c r="EF347" i="1"/>
  <c r="EF346" i="1"/>
  <c r="EE347" i="1"/>
  <c r="EE346" i="1"/>
  <c r="DS347" i="1"/>
  <c r="DS346" i="1"/>
  <c r="DR347" i="1"/>
  <c r="DR346" i="1"/>
  <c r="AK347" i="1"/>
  <c r="AK346" i="1"/>
  <c r="E53" i="3"/>
  <c r="D53" i="3"/>
  <c r="C53" i="3"/>
  <c r="BG346" i="1" s="1"/>
  <c r="BG347" i="1"/>
  <c r="AG347" i="1"/>
  <c r="AH347" i="1" s="1"/>
  <c r="AG346" i="1"/>
  <c r="AH346" i="1" s="1"/>
  <c r="D336" i="1"/>
  <c r="C336" i="1"/>
  <c r="D334" i="1"/>
  <c r="C334" i="1"/>
  <c r="D333" i="1"/>
  <c r="C333" i="1"/>
  <c r="D330" i="1"/>
  <c r="C330" i="1"/>
  <c r="D328" i="1"/>
  <c r="C328" i="1"/>
  <c r="D327" i="1"/>
  <c r="C327" i="1"/>
  <c r="D324" i="1"/>
  <c r="C324" i="1"/>
  <c r="D323" i="1"/>
  <c r="C323" i="1"/>
  <c r="D322" i="1"/>
  <c r="C322" i="1"/>
  <c r="E48" i="7"/>
  <c r="D48" i="7"/>
  <c r="EM306" i="1"/>
  <c r="EQ306" i="1" s="1"/>
  <c r="EL306" i="1"/>
  <c r="EG306" i="1"/>
  <c r="EF306" i="1"/>
  <c r="EE306" i="1"/>
  <c r="DS306" i="1"/>
  <c r="DR306" i="1"/>
  <c r="DN306" i="1"/>
  <c r="DM306" i="1"/>
  <c r="DD306" i="1"/>
  <c r="DG306" i="1" s="1"/>
  <c r="DC306" i="1"/>
  <c r="BG306" i="1"/>
  <c r="BE306" i="1" s="1"/>
  <c r="BF306" i="1" s="1"/>
  <c r="EM305" i="1"/>
  <c r="EQ305" i="1" s="1"/>
  <c r="EL305" i="1"/>
  <c r="EG305" i="1"/>
  <c r="EF305" i="1"/>
  <c r="EE305" i="1"/>
  <c r="DS305" i="1"/>
  <c r="DR305" i="1"/>
  <c r="DN305" i="1"/>
  <c r="DM305" i="1"/>
  <c r="DD305" i="1"/>
  <c r="DG305" i="1" s="1"/>
  <c r="DC305" i="1"/>
  <c r="BG305" i="1"/>
  <c r="BE305" i="1" s="1"/>
  <c r="BF305" i="1" s="1"/>
  <c r="BC306" i="1"/>
  <c r="BC305" i="1"/>
  <c r="D298" i="1"/>
  <c r="C298" i="1"/>
  <c r="D296" i="1"/>
  <c r="C296" i="1"/>
  <c r="D295" i="1"/>
  <c r="C295" i="1"/>
  <c r="D292" i="1"/>
  <c r="C292" i="1"/>
  <c r="D290" i="1"/>
  <c r="C290" i="1"/>
  <c r="D289" i="1"/>
  <c r="C289" i="1"/>
  <c r="D286" i="1"/>
  <c r="D285" i="1"/>
  <c r="D284" i="1"/>
  <c r="C286" i="1"/>
  <c r="C285" i="1"/>
  <c r="C284" i="1"/>
  <c r="EM268" i="1"/>
  <c r="EM267" i="1"/>
  <c r="EL268" i="1"/>
  <c r="EL267" i="1"/>
  <c r="EG268" i="1"/>
  <c r="EG267" i="1"/>
  <c r="EF268" i="1"/>
  <c r="EF267" i="1"/>
  <c r="EE268" i="1"/>
  <c r="EE267" i="1"/>
  <c r="DS268" i="1"/>
  <c r="DS267" i="1"/>
  <c r="DR268" i="1"/>
  <c r="DR267" i="1"/>
  <c r="DN268" i="1"/>
  <c r="DN267" i="1"/>
  <c r="DM268" i="1"/>
  <c r="DM267" i="1"/>
  <c r="DD268" i="1"/>
  <c r="DD267" i="1"/>
  <c r="DC268" i="1"/>
  <c r="DC267" i="1"/>
  <c r="E48" i="6"/>
  <c r="D48" i="6"/>
  <c r="BG268" i="1"/>
  <c r="BE268" i="1" s="1"/>
  <c r="BF268" i="1" s="1"/>
  <c r="BG267" i="1"/>
  <c r="BE267" i="1" s="1"/>
  <c r="BF267" i="1" s="1"/>
  <c r="D260" i="1"/>
  <c r="D257" i="1"/>
  <c r="D254" i="1"/>
  <c r="D252" i="1"/>
  <c r="D251" i="1"/>
  <c r="D258" i="1"/>
  <c r="C260" i="1"/>
  <c r="C258" i="1"/>
  <c r="C257" i="1"/>
  <c r="C254" i="1"/>
  <c r="C252" i="1"/>
  <c r="C251" i="1"/>
  <c r="D248" i="1"/>
  <c r="D247" i="1"/>
  <c r="D246" i="1"/>
  <c r="C248" i="1"/>
  <c r="C247" i="1"/>
  <c r="C246" i="1"/>
  <c r="EM230" i="1"/>
  <c r="EM229" i="1"/>
  <c r="EL230" i="1"/>
  <c r="EL229" i="1"/>
  <c r="EG230" i="1"/>
  <c r="EG229" i="1"/>
  <c r="EF230" i="1"/>
  <c r="EF229" i="1"/>
  <c r="EE230" i="1"/>
  <c r="EE229" i="1"/>
  <c r="DS230" i="1"/>
  <c r="DS229" i="1"/>
  <c r="DR230" i="1"/>
  <c r="DR229" i="1"/>
  <c r="DN230" i="1"/>
  <c r="DN229" i="1"/>
  <c r="DM230" i="1"/>
  <c r="DM229" i="1"/>
  <c r="DD229" i="1"/>
  <c r="DG229" i="1" s="1"/>
  <c r="DD230" i="1"/>
  <c r="DC230" i="1"/>
  <c r="DC229" i="1"/>
  <c r="BG230" i="1"/>
  <c r="BE230" i="1" s="1"/>
  <c r="BF230" i="1" s="1"/>
  <c r="BG229" i="1"/>
  <c r="BE229" i="1" s="1"/>
  <c r="BF229" i="1" s="1"/>
  <c r="AK230" i="1"/>
  <c r="E47" i="5"/>
  <c r="D47" i="5"/>
  <c r="D225" i="1"/>
  <c r="D227" i="1" s="1"/>
  <c r="D224" i="1"/>
  <c r="D226" i="1" s="1"/>
  <c r="EM214" i="1"/>
  <c r="D222" i="1" s="1"/>
  <c r="EL214" i="1"/>
  <c r="EG214" i="1"/>
  <c r="EF214" i="1"/>
  <c r="EE214" i="1"/>
  <c r="DS214" i="1"/>
  <c r="ED214" i="1" s="1"/>
  <c r="DR214" i="1"/>
  <c r="BG214" i="1"/>
  <c r="BE214" i="1" s="1"/>
  <c r="BF214" i="1" s="1"/>
  <c r="C225" i="1"/>
  <c r="C227" i="1" s="1"/>
  <c r="C224" i="1"/>
  <c r="C226" i="1" s="1"/>
  <c r="D223" i="1"/>
  <c r="C223" i="1"/>
  <c r="D221" i="1"/>
  <c r="C221" i="1"/>
  <c r="EP215" i="1"/>
  <c r="EO215" i="1"/>
  <c r="EN215" i="1"/>
  <c r="EM213" i="1"/>
  <c r="EQ213" i="1" s="1"/>
  <c r="EL213" i="1"/>
  <c r="EG213" i="1"/>
  <c r="EF213" i="1"/>
  <c r="EE213" i="1"/>
  <c r="DS213" i="1"/>
  <c r="ED213" i="1" s="1"/>
  <c r="DR213" i="1"/>
  <c r="BG213" i="1"/>
  <c r="BE213" i="1" s="1"/>
  <c r="BF213" i="1" s="1"/>
  <c r="D209" i="1"/>
  <c r="D211" i="1" s="1"/>
  <c r="D208" i="1"/>
  <c r="D210" i="1" s="1"/>
  <c r="C209" i="1"/>
  <c r="C211" i="1" s="1"/>
  <c r="C208" i="1"/>
  <c r="C210" i="1" s="1"/>
  <c r="EM195" i="1"/>
  <c r="EQ195" i="1" s="1"/>
  <c r="EM194" i="1"/>
  <c r="EL195" i="1"/>
  <c r="EL194" i="1"/>
  <c r="EG195" i="1"/>
  <c r="EG194" i="1"/>
  <c r="EF195" i="1"/>
  <c r="EF194" i="1"/>
  <c r="EE195" i="1"/>
  <c r="EE194" i="1"/>
  <c r="DS195" i="1"/>
  <c r="ED195" i="1" s="1"/>
  <c r="DS194" i="1"/>
  <c r="C200" i="1" s="1"/>
  <c r="DR195" i="1"/>
  <c r="DR194" i="1"/>
  <c r="BG195" i="1"/>
  <c r="BE195" i="1" s="1"/>
  <c r="BF195" i="1" s="1"/>
  <c r="BG194" i="1"/>
  <c r="BE194" i="1" s="1"/>
  <c r="BF194" i="1" s="1"/>
  <c r="D206" i="1"/>
  <c r="C206" i="1"/>
  <c r="D204" i="1"/>
  <c r="C204" i="1"/>
  <c r="EP196" i="1"/>
  <c r="EO196" i="1"/>
  <c r="EN196" i="1"/>
  <c r="D190" i="1"/>
  <c r="D192" i="1" s="1"/>
  <c r="D189" i="1"/>
  <c r="D191" i="1" s="1"/>
  <c r="C190" i="1"/>
  <c r="C192" i="1" s="1"/>
  <c r="C189" i="1"/>
  <c r="C191" i="1" s="1"/>
  <c r="EP177" i="1"/>
  <c r="EO177" i="1"/>
  <c r="EM176" i="1"/>
  <c r="EM175" i="1"/>
  <c r="EL176" i="1"/>
  <c r="EL175" i="1"/>
  <c r="EG176" i="1"/>
  <c r="EG175" i="1"/>
  <c r="EF176" i="1"/>
  <c r="EF175" i="1"/>
  <c r="EE176" i="1"/>
  <c r="EE175" i="1"/>
  <c r="DS176" i="1"/>
  <c r="DS175" i="1"/>
  <c r="DR176" i="1"/>
  <c r="DR175" i="1"/>
  <c r="BG176" i="1"/>
  <c r="BG175" i="1"/>
  <c r="C171" i="1"/>
  <c r="C173" i="1" s="1"/>
  <c r="C170" i="1"/>
  <c r="C172" i="1" s="1"/>
  <c r="EG159" i="1"/>
  <c r="EF159" i="1"/>
  <c r="EE159" i="1"/>
  <c r="DU159" i="1"/>
  <c r="DS159" i="1"/>
  <c r="C165" i="1" s="1"/>
  <c r="DR159" i="1"/>
  <c r="BG159" i="1"/>
  <c r="BE159" i="1" s="1"/>
  <c r="BF159" i="1" s="1"/>
  <c r="D171" i="1"/>
  <c r="D173" i="1" s="1"/>
  <c r="D170" i="1"/>
  <c r="D172" i="1" s="1"/>
  <c r="E168" i="1"/>
  <c r="EQ160" i="1"/>
  <c r="EG160" i="1"/>
  <c r="EF160" i="1"/>
  <c r="EE160" i="1"/>
  <c r="DU160" i="1"/>
  <c r="DS160" i="1"/>
  <c r="ED160" i="1" s="1"/>
  <c r="DR160" i="1"/>
  <c r="BG160" i="1"/>
  <c r="BE160" i="1" s="1"/>
  <c r="BF160" i="1" s="1"/>
  <c r="EQ159" i="1"/>
  <c r="D155" i="1"/>
  <c r="D157" i="1" s="1"/>
  <c r="D154" i="1"/>
  <c r="D156" i="1" s="1"/>
  <c r="C155" i="1"/>
  <c r="C157" i="1" s="1"/>
  <c r="C154" i="1"/>
  <c r="C156" i="1" s="1"/>
  <c r="EG144" i="1"/>
  <c r="EG143" i="1"/>
  <c r="EF144" i="1"/>
  <c r="EF143" i="1"/>
  <c r="EE144" i="1"/>
  <c r="EE143" i="1"/>
  <c r="DU144" i="1"/>
  <c r="DU143" i="1"/>
  <c r="DS144" i="1"/>
  <c r="DS143" i="1"/>
  <c r="DR144" i="1"/>
  <c r="DR143" i="1"/>
  <c r="BG144" i="1"/>
  <c r="BG143" i="1"/>
  <c r="D139" i="1"/>
  <c r="D141" i="1" s="1"/>
  <c r="D138" i="1"/>
  <c r="D140" i="1" s="1"/>
  <c r="C139" i="1"/>
  <c r="C141" i="1" s="1"/>
  <c r="C138" i="1"/>
  <c r="C140" i="1" s="1"/>
  <c r="EG129" i="1"/>
  <c r="EG130" i="1"/>
  <c r="EF130" i="1"/>
  <c r="EF129" i="1"/>
  <c r="EE130" i="1"/>
  <c r="EE129" i="1"/>
  <c r="DS130" i="1"/>
  <c r="DS129" i="1"/>
  <c r="DR130" i="1"/>
  <c r="DR129" i="1"/>
  <c r="DB130" i="1"/>
  <c r="DB129" i="1"/>
  <c r="CW130" i="1"/>
  <c r="CW129" i="1"/>
  <c r="BG130" i="1"/>
  <c r="BE130" i="1" s="1"/>
  <c r="BF130" i="1" s="1"/>
  <c r="BG129" i="1"/>
  <c r="BE129" i="1" s="1"/>
  <c r="BF129" i="1" s="1"/>
  <c r="EG114" i="1"/>
  <c r="EF114" i="1"/>
  <c r="EE114" i="1"/>
  <c r="BG114" i="1"/>
  <c r="BE114" i="1" s="1"/>
  <c r="BF114" i="1" s="1"/>
  <c r="AG114" i="1"/>
  <c r="AH114" i="1" s="1"/>
  <c r="D127" i="1"/>
  <c r="C125" i="1"/>
  <c r="C127" i="1" s="1"/>
  <c r="D126" i="1"/>
  <c r="C124" i="1"/>
  <c r="C126" i="1" s="1"/>
  <c r="E122" i="1"/>
  <c r="D119" i="1"/>
  <c r="C119" i="1"/>
  <c r="DS115" i="1"/>
  <c r="EQ114" i="1"/>
  <c r="ED114" i="1"/>
  <c r="EQ113" i="1"/>
  <c r="EG113" i="1"/>
  <c r="EF113" i="1"/>
  <c r="EE113" i="1"/>
  <c r="ED113" i="1"/>
  <c r="BG113" i="1"/>
  <c r="BE113" i="1" s="1"/>
  <c r="BF113" i="1" s="1"/>
  <c r="AG113" i="1"/>
  <c r="AH113" i="1" s="1"/>
  <c r="D109" i="1"/>
  <c r="D111" i="1" s="1"/>
  <c r="C109" i="1"/>
  <c r="C111" i="1" s="1"/>
  <c r="D108" i="1"/>
  <c r="D110" i="1" s="1"/>
  <c r="C108" i="1"/>
  <c r="C110" i="1" s="1"/>
  <c r="EG98" i="1"/>
  <c r="EG97" i="1"/>
  <c r="EF98" i="1"/>
  <c r="EF97" i="1"/>
  <c r="EE98" i="1"/>
  <c r="EE97" i="1"/>
  <c r="BG98" i="1"/>
  <c r="BG97" i="1"/>
  <c r="AG98" i="1"/>
  <c r="AF98" i="1" s="1"/>
  <c r="AG97" i="1"/>
  <c r="AH97" i="1" s="1"/>
  <c r="D93" i="1"/>
  <c r="D92" i="1"/>
  <c r="C93" i="1"/>
  <c r="C92" i="1"/>
  <c r="C64" i="1"/>
  <c r="D64" i="1"/>
  <c r="D63" i="1"/>
  <c r="C63" i="1"/>
  <c r="D86" i="1"/>
  <c r="C86" i="1"/>
  <c r="D57" i="1"/>
  <c r="C57" i="1"/>
  <c r="EG70" i="1"/>
  <c r="EF70" i="1"/>
  <c r="EE70" i="1"/>
  <c r="DS70" i="1"/>
  <c r="D85" i="1" s="1"/>
  <c r="DR70" i="1"/>
  <c r="DN70" i="1"/>
  <c r="D90" i="1" s="1"/>
  <c r="DM70" i="1"/>
  <c r="D89" i="1" s="1"/>
  <c r="DC70" i="1"/>
  <c r="D84" i="1" s="1"/>
  <c r="DB70" i="1"/>
  <c r="BG70" i="1"/>
  <c r="BE70" i="1" s="1"/>
  <c r="BF70" i="1" s="1"/>
  <c r="EJ72" i="1"/>
  <c r="EI72" i="1"/>
  <c r="EH72" i="1"/>
  <c r="EC72" i="1"/>
  <c r="EB72" i="1"/>
  <c r="EA72" i="1"/>
  <c r="DZ72" i="1"/>
  <c r="DY72" i="1"/>
  <c r="DX72" i="1"/>
  <c r="DW72" i="1"/>
  <c r="DV72" i="1"/>
  <c r="DU72" i="1"/>
  <c r="DT72" i="1"/>
  <c r="DL72" i="1"/>
  <c r="DJ72" i="1"/>
  <c r="DI72" i="1"/>
  <c r="DH72" i="1"/>
  <c r="DG72" i="1"/>
  <c r="DF72" i="1"/>
  <c r="DE72" i="1"/>
  <c r="DD72" i="1"/>
  <c r="BC70" i="1"/>
  <c r="EG69" i="1"/>
  <c r="EF69" i="1"/>
  <c r="EE69" i="1"/>
  <c r="DS69" i="1"/>
  <c r="C85" i="1" s="1"/>
  <c r="DR69" i="1"/>
  <c r="DN69" i="1"/>
  <c r="C90" i="1" s="1"/>
  <c r="DM69" i="1"/>
  <c r="DC69" i="1"/>
  <c r="C84" i="1" s="1"/>
  <c r="DB69" i="1"/>
  <c r="BG69" i="1"/>
  <c r="BE69" i="1" s="1"/>
  <c r="BF69" i="1" s="1"/>
  <c r="BC69" i="1"/>
  <c r="EJ43" i="1"/>
  <c r="EI43" i="1"/>
  <c r="EH43" i="1"/>
  <c r="EG41" i="1"/>
  <c r="EG40" i="1"/>
  <c r="EF41" i="1"/>
  <c r="EF40" i="1"/>
  <c r="EE41" i="1"/>
  <c r="EE40" i="1"/>
  <c r="DS41" i="1"/>
  <c r="D56" i="1" s="1"/>
  <c r="DS40" i="1"/>
  <c r="DR41" i="1"/>
  <c r="DR40" i="1"/>
  <c r="DN41" i="1"/>
  <c r="DN40" i="1"/>
  <c r="DM41" i="1"/>
  <c r="DM40" i="1"/>
  <c r="DL43" i="1"/>
  <c r="DJ43" i="1"/>
  <c r="DI43" i="1"/>
  <c r="DH43" i="1"/>
  <c r="DG43" i="1"/>
  <c r="DF43" i="1"/>
  <c r="DE43" i="1"/>
  <c r="DD43" i="1"/>
  <c r="DC41" i="1"/>
  <c r="D55" i="1" s="1"/>
  <c r="DC40" i="1"/>
  <c r="DB41" i="1"/>
  <c r="DB40" i="1"/>
  <c r="BG41" i="1"/>
  <c r="BE41" i="1" s="1"/>
  <c r="BF41" i="1" s="1"/>
  <c r="BG40" i="1"/>
  <c r="BE40" i="1" s="1"/>
  <c r="BF40" i="1" s="1"/>
  <c r="F40" i="19"/>
  <c r="D40" i="19"/>
  <c r="C40" i="19"/>
  <c r="D33" i="1"/>
  <c r="D35" i="1" s="1"/>
  <c r="D32" i="1"/>
  <c r="D34" i="1" s="1"/>
  <c r="C33" i="1"/>
  <c r="C35" i="1" s="1"/>
  <c r="C32" i="1"/>
  <c r="D16" i="1"/>
  <c r="D18" i="1" s="1"/>
  <c r="D15" i="1"/>
  <c r="D17" i="1" s="1"/>
  <c r="C16" i="1"/>
  <c r="C18" i="1" s="1"/>
  <c r="C15" i="1"/>
  <c r="C17" i="1" s="1"/>
  <c r="EG22" i="1"/>
  <c r="EF22" i="1"/>
  <c r="EE22" i="1"/>
  <c r="DS22" i="1"/>
  <c r="BG22" i="1"/>
  <c r="BE22" i="1" s="1"/>
  <c r="BF22" i="1" s="1"/>
  <c r="EJ23" i="1"/>
  <c r="EI23" i="1"/>
  <c r="EH23" i="1"/>
  <c r="EQ22" i="1"/>
  <c r="DR22" i="1"/>
  <c r="EQ21" i="1"/>
  <c r="EG21" i="1"/>
  <c r="EF21" i="1"/>
  <c r="EE21" i="1"/>
  <c r="DS21" i="1"/>
  <c r="CW21" i="1" s="1"/>
  <c r="DR21" i="1"/>
  <c r="BG21" i="1"/>
  <c r="BE21" i="1" s="1"/>
  <c r="BF21" i="1" s="1"/>
  <c r="EE510" i="1" l="1"/>
  <c r="EE115" i="1"/>
  <c r="EL510" i="1"/>
  <c r="E470" i="1"/>
  <c r="EM510" i="1"/>
  <c r="DS456" i="1"/>
  <c r="EF510" i="1"/>
  <c r="E442" i="1"/>
  <c r="E468" i="1"/>
  <c r="EF493" i="1"/>
  <c r="E514" i="1"/>
  <c r="E469" i="1"/>
  <c r="E524" i="1"/>
  <c r="EG510" i="1"/>
  <c r="E503" i="1"/>
  <c r="E472" i="1"/>
  <c r="EK508" i="1"/>
  <c r="E480" i="1"/>
  <c r="E489" i="1" s="1"/>
  <c r="E481" i="1"/>
  <c r="EM456" i="1"/>
  <c r="DO452" i="1"/>
  <c r="EE493" i="1"/>
  <c r="E479" i="1"/>
  <c r="E488" i="1" s="1"/>
  <c r="EK492" i="1"/>
  <c r="EQ508" i="1"/>
  <c r="EQ510" i="1" s="1"/>
  <c r="EK509" i="1"/>
  <c r="ED509" i="1"/>
  <c r="ED508" i="1"/>
  <c r="DS510" i="1"/>
  <c r="EG456" i="1"/>
  <c r="E473" i="1"/>
  <c r="E484" i="1" s="1"/>
  <c r="EQ451" i="1"/>
  <c r="DD456" i="1"/>
  <c r="DR72" i="1"/>
  <c r="DS493" i="1"/>
  <c r="E439" i="1"/>
  <c r="E448" i="1" s="1"/>
  <c r="ED492" i="1"/>
  <c r="ED491" i="1"/>
  <c r="DR456" i="1"/>
  <c r="F458" i="1"/>
  <c r="F459" i="1" s="1"/>
  <c r="B463" i="1"/>
  <c r="E504" i="1"/>
  <c r="E436" i="1"/>
  <c r="CW491" i="1"/>
  <c r="E501" i="1"/>
  <c r="E438" i="1"/>
  <c r="E447" i="1" s="1"/>
  <c r="EG493" i="1"/>
  <c r="E502" i="1"/>
  <c r="DM456" i="1"/>
  <c r="E497" i="1"/>
  <c r="DN456" i="1"/>
  <c r="E474" i="1"/>
  <c r="E485" i="1" s="1"/>
  <c r="E475" i="1"/>
  <c r="E486" i="1" s="1"/>
  <c r="EK491" i="1"/>
  <c r="E476" i="1"/>
  <c r="E500" i="1"/>
  <c r="EL456" i="1"/>
  <c r="E435" i="1"/>
  <c r="E446" i="1" s="1"/>
  <c r="E482" i="1"/>
  <c r="E478" i="1"/>
  <c r="E487" i="1" s="1"/>
  <c r="EK452" i="1"/>
  <c r="EF456" i="1"/>
  <c r="EQ452" i="1"/>
  <c r="DG452" i="1"/>
  <c r="DG456" i="1" s="1"/>
  <c r="DC456" i="1"/>
  <c r="DD416" i="1"/>
  <c r="DO451" i="1"/>
  <c r="EK451" i="1"/>
  <c r="E432" i="1"/>
  <c r="DO411" i="1"/>
  <c r="EQ416" i="1"/>
  <c r="DO412" i="1"/>
  <c r="DK412" i="1" s="1"/>
  <c r="DP412" i="1" s="1"/>
  <c r="DG411" i="1"/>
  <c r="DG416" i="1" s="1"/>
  <c r="EK412" i="1"/>
  <c r="ER412" i="1" s="1"/>
  <c r="EG416" i="1"/>
  <c r="EE381" i="1"/>
  <c r="E406" i="1"/>
  <c r="E407" i="1"/>
  <c r="DN416" i="1"/>
  <c r="E396" i="1"/>
  <c r="E433" i="1"/>
  <c r="E444" i="1" s="1"/>
  <c r="E434" i="1"/>
  <c r="E445" i="1" s="1"/>
  <c r="EG381" i="1"/>
  <c r="E440" i="1"/>
  <c r="E449" i="1" s="1"/>
  <c r="E428" i="1"/>
  <c r="E441" i="1"/>
  <c r="DS416" i="1"/>
  <c r="E429" i="1"/>
  <c r="AH380" i="1"/>
  <c r="EM381" i="1"/>
  <c r="E400" i="1"/>
  <c r="EK411" i="1"/>
  <c r="ER411" i="1" s="1"/>
  <c r="EK379" i="1"/>
  <c r="ER379" i="1" s="1"/>
  <c r="EL416" i="1"/>
  <c r="E327" i="1"/>
  <c r="E338" i="1" s="1"/>
  <c r="F418" i="1"/>
  <c r="F419" i="1" s="1"/>
  <c r="EM416" i="1"/>
  <c r="D419" i="1"/>
  <c r="E419" i="1" s="1"/>
  <c r="DR416" i="1"/>
  <c r="E399" i="1"/>
  <c r="E404" i="1"/>
  <c r="E430" i="1"/>
  <c r="DC416" i="1"/>
  <c r="E376" i="1"/>
  <c r="DM416" i="1"/>
  <c r="E373" i="1"/>
  <c r="EF416" i="1"/>
  <c r="E333" i="1"/>
  <c r="E340" i="1" s="1"/>
  <c r="E403" i="1"/>
  <c r="E322" i="1"/>
  <c r="E370" i="1"/>
  <c r="EF381" i="1"/>
  <c r="E328" i="1"/>
  <c r="E339" i="1" s="1"/>
  <c r="E324" i="1"/>
  <c r="ED159" i="1"/>
  <c r="ED161" i="1" s="1"/>
  <c r="EK306" i="1"/>
  <c r="ER306" i="1" s="1"/>
  <c r="EK380" i="1"/>
  <c r="E408" i="1"/>
  <c r="ED381" i="1"/>
  <c r="E409" i="1"/>
  <c r="AH379" i="1"/>
  <c r="EQ380" i="1"/>
  <c r="E405" i="1"/>
  <c r="DS381" i="1"/>
  <c r="EK305" i="1"/>
  <c r="ER305" i="1" s="1"/>
  <c r="E334" i="1"/>
  <c r="E341" i="1" s="1"/>
  <c r="E336" i="1"/>
  <c r="EK195" i="1"/>
  <c r="ER195" i="1" s="1"/>
  <c r="AX195" i="1" s="1"/>
  <c r="E323" i="1"/>
  <c r="DO306" i="1"/>
  <c r="DK306" i="1" s="1"/>
  <c r="DP306" i="1" s="1"/>
  <c r="AF347" i="1"/>
  <c r="EK70" i="1"/>
  <c r="EE196" i="1"/>
  <c r="DO305" i="1"/>
  <c r="DK305" i="1" s="1"/>
  <c r="DP305" i="1" s="1"/>
  <c r="AF346" i="1"/>
  <c r="EE23" i="1"/>
  <c r="E330" i="1"/>
  <c r="EF196" i="1"/>
  <c r="EK213" i="1"/>
  <c r="ER213" i="1" s="1"/>
  <c r="DO268" i="1"/>
  <c r="DO267" i="1"/>
  <c r="E93" i="1"/>
  <c r="AF113" i="1"/>
  <c r="EG196" i="1"/>
  <c r="EL234" i="1"/>
  <c r="AF97" i="1"/>
  <c r="ED115" i="1"/>
  <c r="DO230" i="1"/>
  <c r="EE161" i="1"/>
  <c r="E206" i="1"/>
  <c r="E90" i="1"/>
  <c r="E92" i="1"/>
  <c r="ED194" i="1"/>
  <c r="ED196" i="1" s="1"/>
  <c r="EF72" i="1"/>
  <c r="DS196" i="1"/>
  <c r="EE215" i="1"/>
  <c r="EG161" i="1"/>
  <c r="EL177" i="1"/>
  <c r="EL215" i="1"/>
  <c r="EF161" i="1"/>
  <c r="EM196" i="1"/>
  <c r="DO229" i="1"/>
  <c r="EM234" i="1"/>
  <c r="EK160" i="1"/>
  <c r="ER160" i="1" s="1"/>
  <c r="AX160" i="1" s="1"/>
  <c r="EG215" i="1"/>
  <c r="DS23" i="1"/>
  <c r="DS161" i="1"/>
  <c r="E204" i="1"/>
  <c r="EM215" i="1"/>
  <c r="EL196" i="1"/>
  <c r="E57" i="1"/>
  <c r="EF215" i="1"/>
  <c r="DM72" i="1"/>
  <c r="EK21" i="1"/>
  <c r="C89" i="1"/>
  <c r="E89" i="1" s="1"/>
  <c r="EK113" i="1"/>
  <c r="ER113" i="1" s="1"/>
  <c r="EK114" i="1"/>
  <c r="ER114" i="1" s="1"/>
  <c r="AX114" i="1" s="1"/>
  <c r="EK69" i="1"/>
  <c r="ER69" i="1" s="1"/>
  <c r="E223" i="1"/>
  <c r="DN72" i="1"/>
  <c r="E119" i="1"/>
  <c r="E121" i="1" s="1"/>
  <c r="E86" i="1"/>
  <c r="D205" i="1"/>
  <c r="AH98" i="1"/>
  <c r="EG72" i="1"/>
  <c r="EK22" i="1"/>
  <c r="E126" i="1"/>
  <c r="E84" i="1"/>
  <c r="C218" i="1"/>
  <c r="EG115" i="1"/>
  <c r="E221" i="1"/>
  <c r="E32" i="1"/>
  <c r="E85" i="1"/>
  <c r="ED215" i="1"/>
  <c r="E226" i="1"/>
  <c r="E227" i="1"/>
  <c r="EK214" i="1"/>
  <c r="EQ214" i="1"/>
  <c r="EQ215" i="1" s="1"/>
  <c r="D218" i="1"/>
  <c r="E224" i="1"/>
  <c r="DS215" i="1"/>
  <c r="C220" i="1"/>
  <c r="D220" i="1"/>
  <c r="E225" i="1"/>
  <c r="C222" i="1"/>
  <c r="E222" i="1" s="1"/>
  <c r="D200" i="1"/>
  <c r="E200" i="1" s="1"/>
  <c r="E210" i="1"/>
  <c r="E211" i="1"/>
  <c r="EK194" i="1"/>
  <c r="E208" i="1"/>
  <c r="EQ194" i="1"/>
  <c r="EQ196" i="1" s="1"/>
  <c r="C203" i="1"/>
  <c r="D203" i="1"/>
  <c r="E209" i="1"/>
  <c r="C205" i="1"/>
  <c r="E170" i="1"/>
  <c r="E173" i="1"/>
  <c r="E172" i="1"/>
  <c r="D165" i="1"/>
  <c r="E165" i="1" s="1"/>
  <c r="E167" i="1" s="1"/>
  <c r="EK159" i="1"/>
  <c r="E171" i="1"/>
  <c r="AF114" i="1"/>
  <c r="E127" i="1"/>
  <c r="E124" i="1"/>
  <c r="E125" i="1"/>
  <c r="EF115" i="1"/>
  <c r="ED70" i="1"/>
  <c r="DS72" i="1"/>
  <c r="DO69" i="1"/>
  <c r="DO70" i="1"/>
  <c r="DK70" i="1" s="1"/>
  <c r="DP70" i="1" s="1"/>
  <c r="DC72" i="1"/>
  <c r="C34" i="1"/>
  <c r="E34" i="1" s="1"/>
  <c r="E33" i="1"/>
  <c r="E35" i="1"/>
  <c r="EF23" i="1"/>
  <c r="EG23" i="1"/>
  <c r="DM43" i="1"/>
  <c r="E16" i="1"/>
  <c r="E18" i="1"/>
  <c r="CW22" i="1"/>
  <c r="ED22" i="1"/>
  <c r="ED21" i="1"/>
  <c r="E471" i="1" l="1"/>
  <c r="DO456" i="1"/>
  <c r="EK510" i="1"/>
  <c r="ER70" i="1"/>
  <c r="ER72" i="1" s="1"/>
  <c r="ER509" i="1"/>
  <c r="AX509" i="1" s="1"/>
  <c r="EK493" i="1"/>
  <c r="ER492" i="1"/>
  <c r="AX492" i="1" s="1"/>
  <c r="ED493" i="1"/>
  <c r="ER491" i="1"/>
  <c r="AX491" i="1" s="1"/>
  <c r="ED510" i="1"/>
  <c r="ER508" i="1"/>
  <c r="EK416" i="1"/>
  <c r="DO416" i="1"/>
  <c r="ER452" i="1"/>
  <c r="ER451" i="1"/>
  <c r="EK456" i="1"/>
  <c r="DK451" i="1"/>
  <c r="DK452" i="1"/>
  <c r="DP452" i="1" s="1"/>
  <c r="EQ456" i="1"/>
  <c r="DK411" i="1"/>
  <c r="DP411" i="1" s="1"/>
  <c r="DP416" i="1" s="1"/>
  <c r="E431" i="1"/>
  <c r="EK381" i="1"/>
  <c r="E325" i="1"/>
  <c r="ER380" i="1"/>
  <c r="AX380" i="1" s="1"/>
  <c r="ER416" i="1"/>
  <c r="EK196" i="1"/>
  <c r="EQ381" i="1"/>
  <c r="AX379" i="1"/>
  <c r="E205" i="1"/>
  <c r="E95" i="1"/>
  <c r="ER22" i="1"/>
  <c r="AX22" i="1" s="1"/>
  <c r="E94" i="1"/>
  <c r="EK23" i="1"/>
  <c r="EK161" i="1"/>
  <c r="EK115" i="1"/>
  <c r="EK72" i="1"/>
  <c r="E87" i="1"/>
  <c r="ED72" i="1"/>
  <c r="E218" i="1"/>
  <c r="ER214" i="1"/>
  <c r="AX214" i="1" s="1"/>
  <c r="AX213" i="1"/>
  <c r="EK215" i="1"/>
  <c r="E220" i="1"/>
  <c r="E203" i="1"/>
  <c r="ER194" i="1"/>
  <c r="AX194" i="1" s="1"/>
  <c r="ER159" i="1"/>
  <c r="AX113" i="1"/>
  <c r="ER115" i="1"/>
  <c r="DO72" i="1"/>
  <c r="DK69" i="1"/>
  <c r="ER21" i="1"/>
  <c r="ED23" i="1"/>
  <c r="ER456" i="1" l="1"/>
  <c r="ER493" i="1"/>
  <c r="ER510" i="1"/>
  <c r="AX508" i="1"/>
  <c r="DK456" i="1"/>
  <c r="DP451" i="1"/>
  <c r="DP456" i="1" s="1"/>
  <c r="ER381" i="1"/>
  <c r="DK416" i="1"/>
  <c r="ER196" i="1"/>
  <c r="ER215" i="1"/>
  <c r="AX159" i="1"/>
  <c r="ER161" i="1"/>
  <c r="DK72" i="1"/>
  <c r="DP69" i="1"/>
  <c r="DP72" i="1" s="1"/>
  <c r="ER23" i="1"/>
  <c r="AX21" i="1"/>
  <c r="EJ6" i="1" l="1"/>
  <c r="EI6" i="1"/>
  <c r="EH6" i="1"/>
  <c r="EG5" i="1"/>
  <c r="EG4" i="1"/>
  <c r="EF5" i="1"/>
  <c r="EF4" i="1"/>
  <c r="EE5" i="1"/>
  <c r="EE4" i="1"/>
  <c r="DS5" i="1"/>
  <c r="CW5" i="1" s="1"/>
  <c r="DS4" i="1"/>
  <c r="CW4" i="1" s="1"/>
  <c r="DR5" i="1"/>
  <c r="DR4" i="1"/>
  <c r="BG5" i="1"/>
  <c r="BG4" i="1"/>
  <c r="B10" i="22"/>
  <c r="C10" i="22"/>
  <c r="C19" i="22" s="1"/>
  <c r="C28" i="22" s="1"/>
  <c r="D10" i="22"/>
  <c r="B11" i="22"/>
  <c r="C11" i="22"/>
  <c r="C15" i="22" s="1"/>
  <c r="D11" i="22"/>
  <c r="D15" i="22" s="1"/>
  <c r="B14" i="22"/>
  <c r="C14" i="22"/>
  <c r="D14" i="22"/>
  <c r="D17" i="22" s="1"/>
  <c r="D21" i="22" s="1"/>
  <c r="B15" i="22"/>
  <c r="B17" i="22"/>
  <c r="B21" i="22" s="1"/>
  <c r="B24" i="22" s="1"/>
  <c r="B19" i="22"/>
  <c r="B28" i="22" s="1"/>
  <c r="D19" i="22"/>
  <c r="D28" i="22" s="1"/>
  <c r="B23" i="22"/>
  <c r="B26" i="22" s="1"/>
  <c r="C23" i="22"/>
  <c r="D23" i="22"/>
  <c r="C10" i="21"/>
  <c r="C11" i="21"/>
  <c r="B14" i="21"/>
  <c r="C14" i="21"/>
  <c r="B15" i="21"/>
  <c r="B17" i="21" s="1"/>
  <c r="C15" i="21"/>
  <c r="C17" i="21" s="1"/>
  <c r="C21" i="21" s="1"/>
  <c r="C19" i="21"/>
  <c r="C28" i="21" s="1"/>
  <c r="C23" i="21"/>
  <c r="B26" i="21"/>
  <c r="B10" i="20"/>
  <c r="B11" i="20" s="1"/>
  <c r="B15" i="20" s="1"/>
  <c r="C10" i="20"/>
  <c r="D10" i="20"/>
  <c r="D19" i="20" s="1"/>
  <c r="D28" i="20" s="1"/>
  <c r="C11" i="20"/>
  <c r="C15" i="20" s="1"/>
  <c r="B14" i="20"/>
  <c r="C14" i="20"/>
  <c r="D14" i="20"/>
  <c r="B19" i="20"/>
  <c r="B28" i="20" s="1"/>
  <c r="C19" i="20"/>
  <c r="B23" i="20"/>
  <c r="C23" i="20"/>
  <c r="D23" i="20"/>
  <c r="C28" i="20"/>
  <c r="D5" i="19"/>
  <c r="E5" i="19"/>
  <c r="F5" i="19"/>
  <c r="G5" i="19" s="1"/>
  <c r="D6" i="19"/>
  <c r="D23" i="19" s="1"/>
  <c r="E6" i="19"/>
  <c r="D8" i="19"/>
  <c r="D18" i="19" s="1"/>
  <c r="D26" i="19" s="1"/>
  <c r="F8" i="19"/>
  <c r="G8" i="19"/>
  <c r="B9" i="19"/>
  <c r="C9" i="19"/>
  <c r="C16" i="19"/>
  <c r="D16" i="19"/>
  <c r="F16" i="19"/>
  <c r="F17" i="19" s="1"/>
  <c r="C17" i="19"/>
  <c r="C23" i="19" s="1"/>
  <c r="D17" i="19"/>
  <c r="C18" i="19"/>
  <c r="C22" i="19"/>
  <c r="D22" i="19"/>
  <c r="D25" i="19" s="1"/>
  <c r="D30" i="19" s="1"/>
  <c r="C26" i="19"/>
  <c r="C28" i="19"/>
  <c r="D28" i="19"/>
  <c r="C34" i="19"/>
  <c r="D34" i="19"/>
  <c r="B10" i="18"/>
  <c r="B11" i="18" s="1"/>
  <c r="B15" i="18" s="1"/>
  <c r="C10" i="18"/>
  <c r="C11" i="18" s="1"/>
  <c r="C15" i="18" s="1"/>
  <c r="D10" i="18"/>
  <c r="D11" i="18"/>
  <c r="D15" i="18" s="1"/>
  <c r="B14" i="18"/>
  <c r="C14" i="18"/>
  <c r="D14" i="18"/>
  <c r="B19" i="18"/>
  <c r="C19" i="18"/>
  <c r="D19" i="18"/>
  <c r="B23" i="18"/>
  <c r="C23" i="18"/>
  <c r="D23" i="18"/>
  <c r="B28" i="18"/>
  <c r="C28" i="18"/>
  <c r="D28" i="18"/>
  <c r="D24" i="22" l="1"/>
  <c r="D26" i="22" s="1"/>
  <c r="C17" i="22"/>
  <c r="C21" i="22" s="1"/>
  <c r="C24" i="22" s="1"/>
  <c r="C26" i="22" s="1"/>
  <c r="C24" i="21"/>
  <c r="C26" i="21" s="1"/>
  <c r="C17" i="20"/>
  <c r="C21" i="20" s="1"/>
  <c r="C24" i="20" s="1"/>
  <c r="C26" i="20" s="1"/>
  <c r="B17" i="20"/>
  <c r="B21" i="20" s="1"/>
  <c r="B24" i="20" s="1"/>
  <c r="B26" i="20" s="1"/>
  <c r="D11" i="20"/>
  <c r="D15" i="20" s="1"/>
  <c r="C25" i="19"/>
  <c r="C30" i="19" s="1"/>
  <c r="C35" i="19" s="1"/>
  <c r="C37" i="19" s="1"/>
  <c r="D31" i="19"/>
  <c r="D38" i="19" s="1"/>
  <c r="D35" i="19"/>
  <c r="D37" i="19" s="1"/>
  <c r="C31" i="19"/>
  <c r="C38" i="19" s="1"/>
  <c r="F22" i="19"/>
  <c r="E8" i="19"/>
  <c r="E9" i="19" s="1"/>
  <c r="F18" i="19"/>
  <c r="F26" i="19" s="1"/>
  <c r="F28" i="19"/>
  <c r="F6" i="19"/>
  <c r="C17" i="18"/>
  <c r="C21" i="18" s="1"/>
  <c r="C24" i="18" s="1"/>
  <c r="C26" i="18" s="1"/>
  <c r="D17" i="18"/>
  <c r="D21" i="18" s="1"/>
  <c r="D24" i="18" s="1"/>
  <c r="D26" i="18" s="1"/>
  <c r="B17" i="18"/>
  <c r="B21" i="18" s="1"/>
  <c r="B24" i="18" s="1"/>
  <c r="B26" i="18" s="1"/>
  <c r="D17" i="20" l="1"/>
  <c r="D21" i="20" s="1"/>
  <c r="D24" i="20" s="1"/>
  <c r="D26" i="20" s="1"/>
  <c r="G6" i="19"/>
  <c r="G9" i="19" s="1"/>
  <c r="F23" i="19"/>
  <c r="F31" i="19"/>
  <c r="F38" i="19" s="1"/>
  <c r="F34" i="19"/>
  <c r="F25" i="19"/>
  <c r="F30" i="19" s="1"/>
  <c r="F35" i="19" l="1"/>
  <c r="F37" i="19" s="1"/>
  <c r="EN348" i="1" l="1"/>
  <c r="EM348" i="1"/>
  <c r="DS348" i="1"/>
  <c r="EQ347" i="1"/>
  <c r="ED347" i="1"/>
  <c r="BE347" i="1"/>
  <c r="BF347" i="1" s="1"/>
  <c r="EQ346" i="1"/>
  <c r="ED346" i="1"/>
  <c r="F40" i="16"/>
  <c r="F33" i="16"/>
  <c r="F38" i="16"/>
  <c r="F37" i="16"/>
  <c r="F36" i="16"/>
  <c r="F32" i="16"/>
  <c r="F31" i="16"/>
  <c r="F30" i="16"/>
  <c r="C21" i="16"/>
  <c r="E36" i="16"/>
  <c r="E48" i="16" s="1"/>
  <c r="D36" i="16"/>
  <c r="C18" i="16"/>
  <c r="C19" i="16" s="1"/>
  <c r="C9" i="16"/>
  <c r="D22" i="16" s="1"/>
  <c r="B9" i="16"/>
  <c r="E30" i="14"/>
  <c r="E24" i="14"/>
  <c r="E29" i="14"/>
  <c r="E21" i="14"/>
  <c r="E28" i="14"/>
  <c r="E25" i="14"/>
  <c r="E23" i="14"/>
  <c r="E14" i="14"/>
  <c r="C39" i="14"/>
  <c r="B39" i="14"/>
  <c r="C28" i="14"/>
  <c r="B28" i="14"/>
  <c r="E11" i="14"/>
  <c r="E12" i="14" s="1"/>
  <c r="C11" i="14"/>
  <c r="C12" i="14" s="1"/>
  <c r="C33" i="14" s="1"/>
  <c r="C44" i="14" s="1"/>
  <c r="B11" i="14"/>
  <c r="B16" i="14" s="1"/>
  <c r="E34" i="13"/>
  <c r="E24" i="13"/>
  <c r="E31" i="13"/>
  <c r="E30" i="13"/>
  <c r="E23" i="13"/>
  <c r="E22" i="13"/>
  <c r="D30" i="13"/>
  <c r="D42" i="13" s="1"/>
  <c r="C17" i="13"/>
  <c r="C18" i="13" s="1"/>
  <c r="C9" i="13"/>
  <c r="B9" i="13"/>
  <c r="C21" i="10"/>
  <c r="C15" i="10"/>
  <c r="B32" i="10"/>
  <c r="B21" i="10"/>
  <c r="C11" i="10"/>
  <c r="C13" i="10" s="1"/>
  <c r="B11" i="10"/>
  <c r="B13" i="10" s="1"/>
  <c r="F67" i="9"/>
  <c r="E67" i="9"/>
  <c r="D67" i="9"/>
  <c r="C67" i="9"/>
  <c r="F60" i="9"/>
  <c r="F72" i="9" s="1"/>
  <c r="F41" i="9"/>
  <c r="F40" i="9"/>
  <c r="F30" i="9"/>
  <c r="F66" i="9" s="1"/>
  <c r="F19" i="9"/>
  <c r="F36" i="9" s="1"/>
  <c r="F18" i="9"/>
  <c r="F21" i="9" s="1"/>
  <c r="F9" i="9"/>
  <c r="E41" i="9"/>
  <c r="E60" i="9" s="1"/>
  <c r="E40" i="9"/>
  <c r="E30" i="9"/>
  <c r="E66" i="9" s="1"/>
  <c r="E18" i="9"/>
  <c r="E21" i="9" s="1"/>
  <c r="E9" i="9"/>
  <c r="C30" i="9"/>
  <c r="C54" i="9" s="1"/>
  <c r="D30" i="9"/>
  <c r="D54" i="9" s="1"/>
  <c r="D41" i="9"/>
  <c r="D40" i="9"/>
  <c r="D18" i="9"/>
  <c r="D19" i="9" s="1"/>
  <c r="D36" i="9" s="1"/>
  <c r="D60" i="9" s="1"/>
  <c r="D72" i="9" s="1"/>
  <c r="D9" i="9"/>
  <c r="C41" i="9"/>
  <c r="C40" i="9"/>
  <c r="C18" i="9"/>
  <c r="C9" i="9"/>
  <c r="B9" i="9"/>
  <c r="F32" i="8"/>
  <c r="E32" i="8"/>
  <c r="C32" i="8"/>
  <c r="B32" i="8"/>
  <c r="C26" i="8"/>
  <c r="C37" i="8" s="1"/>
  <c r="B26" i="8"/>
  <c r="B37" i="8" s="1"/>
  <c r="F21" i="8"/>
  <c r="E21" i="8"/>
  <c r="C21" i="8"/>
  <c r="B21" i="8"/>
  <c r="B18" i="8"/>
  <c r="F13" i="8"/>
  <c r="C12" i="8"/>
  <c r="B12" i="8"/>
  <c r="F11" i="8"/>
  <c r="F12" i="8" s="1"/>
  <c r="F26" i="8" s="1"/>
  <c r="F37" i="8" s="1"/>
  <c r="E11" i="8"/>
  <c r="E13" i="8" s="1"/>
  <c r="C11" i="8"/>
  <c r="C13" i="8" s="1"/>
  <c r="B11" i="8"/>
  <c r="B13" i="8" s="1"/>
  <c r="B22" i="8" s="1"/>
  <c r="EQ348" i="1" l="1"/>
  <c r="E366" i="1"/>
  <c r="E367" i="1"/>
  <c r="E363" i="1"/>
  <c r="ED348" i="1"/>
  <c r="BE346" i="1"/>
  <c r="BF346" i="1" s="1"/>
  <c r="D23" i="16"/>
  <c r="F22" i="16"/>
  <c r="F25" i="16" s="1"/>
  <c r="F23" i="16"/>
  <c r="E23" i="16"/>
  <c r="E22" i="16"/>
  <c r="E42" i="16"/>
  <c r="D28" i="16"/>
  <c r="D40" i="16" s="1"/>
  <c r="D42" i="16"/>
  <c r="D27" i="16"/>
  <c r="D37" i="16" s="1"/>
  <c r="D48" i="16"/>
  <c r="E25" i="16"/>
  <c r="E38" i="16" s="1"/>
  <c r="E50" i="16" s="1"/>
  <c r="B12" i="14"/>
  <c r="B21" i="14" s="1"/>
  <c r="B29" i="14" s="1"/>
  <c r="B31" i="14" s="1"/>
  <c r="C16" i="14"/>
  <c r="E16" i="14"/>
  <c r="E19" i="13"/>
  <c r="D19" i="13"/>
  <c r="D26" i="13" s="1"/>
  <c r="D31" i="13" s="1"/>
  <c r="E20" i="13"/>
  <c r="D20" i="13"/>
  <c r="D36" i="13"/>
  <c r="D27" i="13"/>
  <c r="D34" i="13" s="1"/>
  <c r="C16" i="10"/>
  <c r="C22" i="10" s="1"/>
  <c r="B12" i="10"/>
  <c r="B18" i="10" s="1"/>
  <c r="B22" i="10" s="1"/>
  <c r="C12" i="10"/>
  <c r="F20" i="9"/>
  <c r="F54" i="9"/>
  <c r="E20" i="9"/>
  <c r="E24" i="9" s="1"/>
  <c r="E32" i="9" s="1"/>
  <c r="E54" i="9"/>
  <c r="E19" i="9"/>
  <c r="E36" i="9" s="1"/>
  <c r="E72" i="9" s="1"/>
  <c r="C66" i="9"/>
  <c r="D66" i="9"/>
  <c r="D21" i="9"/>
  <c r="D20" i="9"/>
  <c r="D24" i="9" s="1"/>
  <c r="D32" i="9" s="1"/>
  <c r="D56" i="9" s="1"/>
  <c r="D68" i="9" s="1"/>
  <c r="C20" i="9"/>
  <c r="C19" i="9"/>
  <c r="C36" i="9" s="1"/>
  <c r="C21" i="9"/>
  <c r="E22" i="8"/>
  <c r="E24" i="8" s="1"/>
  <c r="E28" i="8" s="1"/>
  <c r="E15" i="8"/>
  <c r="E23" i="8" s="1"/>
  <c r="E34" i="8" s="1"/>
  <c r="E18" i="8"/>
  <c r="C22" i="8"/>
  <c r="C15" i="8"/>
  <c r="C23" i="8" s="1"/>
  <c r="C34" i="8" s="1"/>
  <c r="C18" i="8"/>
  <c r="B24" i="8"/>
  <c r="B28" i="8" s="1"/>
  <c r="B33" i="8" s="1"/>
  <c r="B35" i="8" s="1"/>
  <c r="F15" i="8"/>
  <c r="F23" i="8" s="1"/>
  <c r="F34" i="8" s="1"/>
  <c r="E12" i="8"/>
  <c r="E26" i="8" s="1"/>
  <c r="E37" i="8" s="1"/>
  <c r="D45" i="16" l="1"/>
  <c r="D52" i="16" s="1"/>
  <c r="F28" i="16"/>
  <c r="F27" i="16"/>
  <c r="D39" i="16"/>
  <c r="D44" i="16" s="1"/>
  <c r="D49" i="16" s="1"/>
  <c r="D51" i="16" s="1"/>
  <c r="E27" i="16"/>
  <c r="E37" i="16" s="1"/>
  <c r="E28" i="16"/>
  <c r="E40" i="16" s="1"/>
  <c r="E18" i="14"/>
  <c r="B33" i="14"/>
  <c r="B44" i="14" s="1"/>
  <c r="C18" i="14"/>
  <c r="C30" i="14" s="1"/>
  <c r="C41" i="14" s="1"/>
  <c r="D39" i="13"/>
  <c r="D46" i="13" s="1"/>
  <c r="D33" i="13"/>
  <c r="D38" i="13" s="1"/>
  <c r="D43" i="13" s="1"/>
  <c r="D45" i="13" s="1"/>
  <c r="B24" i="10"/>
  <c r="B26" i="10"/>
  <c r="B37" i="10" s="1"/>
  <c r="E27" i="9"/>
  <c r="E34" i="9" s="1"/>
  <c r="E26" i="9"/>
  <c r="E31" i="9" s="1"/>
  <c r="F24" i="9"/>
  <c r="F26" i="9"/>
  <c r="F31" i="9" s="1"/>
  <c r="E45" i="9"/>
  <c r="E33" i="9"/>
  <c r="D26" i="9"/>
  <c r="D31" i="9" s="1"/>
  <c r="D27" i="9"/>
  <c r="D34" i="9" s="1"/>
  <c r="C51" i="9"/>
  <c r="C60" i="9"/>
  <c r="C72" i="9" s="1"/>
  <c r="C26" i="9"/>
  <c r="C27" i="9"/>
  <c r="C34" i="9" s="1"/>
  <c r="E33" i="8"/>
  <c r="E35" i="8" s="1"/>
  <c r="C24" i="8"/>
  <c r="C28" i="8" s="1"/>
  <c r="C33" i="8"/>
  <c r="C35" i="8" s="1"/>
  <c r="F18" i="8"/>
  <c r="F22" i="8" s="1"/>
  <c r="EE348" i="1" l="1"/>
  <c r="E374" i="1"/>
  <c r="E371" i="1"/>
  <c r="EK347" i="1"/>
  <c r="ER347" i="1" s="1"/>
  <c r="AX347" i="1" s="1"/>
  <c r="F52" i="16"/>
  <c r="F39" i="16"/>
  <c r="F51" i="16" s="1"/>
  <c r="E45" i="16"/>
  <c r="E52" i="16" s="1"/>
  <c r="E39" i="16"/>
  <c r="E44" i="16" s="1"/>
  <c r="E49" i="16" s="1"/>
  <c r="E51" i="16" s="1"/>
  <c r="B35" i="14"/>
  <c r="B40" i="14" s="1"/>
  <c r="B42" i="14" s="1"/>
  <c r="C21" i="14"/>
  <c r="C29" i="14" s="1"/>
  <c r="E33" i="13"/>
  <c r="E45" i="13" s="1"/>
  <c r="E46" i="13"/>
  <c r="C24" i="10"/>
  <c r="C35" i="10" s="1"/>
  <c r="B28" i="10"/>
  <c r="B33" i="10" s="1"/>
  <c r="B35" i="10" s="1"/>
  <c r="F32" i="9"/>
  <c r="F27" i="9"/>
  <c r="F34" i="9" s="1"/>
  <c r="D45" i="9"/>
  <c r="D48" i="9"/>
  <c r="E44" i="9"/>
  <c r="D33" i="9"/>
  <c r="C48" i="9"/>
  <c r="C45" i="9"/>
  <c r="C58" i="9" s="1"/>
  <c r="C31" i="9"/>
  <c r="C33" i="9" s="1"/>
  <c r="F24" i="8"/>
  <c r="F28" i="8" s="1"/>
  <c r="F33" i="8" s="1"/>
  <c r="F35" i="8" s="1"/>
  <c r="EF348" i="1" l="1"/>
  <c r="E375" i="1"/>
  <c r="E372" i="1"/>
  <c r="EG348" i="1"/>
  <c r="E31" i="14"/>
  <c r="E42" i="14" s="1"/>
  <c r="C31" i="14"/>
  <c r="C35" i="14" s="1"/>
  <c r="C40" i="14" s="1"/>
  <c r="C42" i="14" s="1"/>
  <c r="F45" i="9"/>
  <c r="F33" i="9"/>
  <c r="D58" i="9"/>
  <c r="D63" i="9"/>
  <c r="D70" i="9" s="1"/>
  <c r="C44" i="9"/>
  <c r="C50" i="9" s="1"/>
  <c r="E50" i="9" s="1"/>
  <c r="C47" i="9"/>
  <c r="C63" i="9"/>
  <c r="C70" i="9" s="1"/>
  <c r="D44" i="9"/>
  <c r="D47" i="9"/>
  <c r="C46" i="3"/>
  <c r="E39" i="3"/>
  <c r="E32" i="3"/>
  <c r="E44" i="3" s="1"/>
  <c r="E31" i="3"/>
  <c r="E22" i="3"/>
  <c r="E48" i="3" s="1"/>
  <c r="E11" i="3"/>
  <c r="E12" i="3" s="1"/>
  <c r="E27" i="3" s="1"/>
  <c r="D39" i="3"/>
  <c r="D32" i="3"/>
  <c r="D31" i="3"/>
  <c r="D22" i="3"/>
  <c r="D48" i="3" s="1"/>
  <c r="D11" i="3"/>
  <c r="D13" i="3" s="1"/>
  <c r="C39" i="3"/>
  <c r="C32" i="3"/>
  <c r="C31" i="3"/>
  <c r="B32" i="3"/>
  <c r="B31" i="3"/>
  <c r="C11" i="3"/>
  <c r="C12" i="3" s="1"/>
  <c r="E38" i="7"/>
  <c r="E38" i="6"/>
  <c r="E42" i="7"/>
  <c r="D42" i="7"/>
  <c r="E30" i="7"/>
  <c r="D30" i="7"/>
  <c r="C19" i="7"/>
  <c r="D22" i="7" s="1"/>
  <c r="C9" i="7"/>
  <c r="B9" i="7"/>
  <c r="B318" i="1"/>
  <c r="C313" i="1"/>
  <c r="D313" i="1" s="1"/>
  <c r="E313" i="1" s="1"/>
  <c r="D312" i="1"/>
  <c r="E312" i="1" s="1"/>
  <c r="ED310" i="1"/>
  <c r="EC310" i="1"/>
  <c r="EB310" i="1"/>
  <c r="EA310" i="1"/>
  <c r="DZ310" i="1"/>
  <c r="DY310" i="1"/>
  <c r="DX310" i="1"/>
  <c r="DW310" i="1"/>
  <c r="DV310" i="1"/>
  <c r="DU310" i="1"/>
  <c r="DT310" i="1"/>
  <c r="DS310" i="1"/>
  <c r="DR310" i="1"/>
  <c r="DL310" i="1"/>
  <c r="DJ310" i="1"/>
  <c r="DI310" i="1"/>
  <c r="DH310" i="1"/>
  <c r="DF310" i="1"/>
  <c r="DE310" i="1"/>
  <c r="DD310" i="1"/>
  <c r="DC310" i="1"/>
  <c r="DG267" i="1"/>
  <c r="B280" i="1"/>
  <c r="C275" i="1"/>
  <c r="D275" i="1" s="1"/>
  <c r="E275" i="1" s="1"/>
  <c r="D274" i="1"/>
  <c r="E274" i="1" s="1"/>
  <c r="ED272" i="1"/>
  <c r="EC272" i="1"/>
  <c r="EB272" i="1"/>
  <c r="EA272" i="1"/>
  <c r="DZ272" i="1"/>
  <c r="DY272" i="1"/>
  <c r="DX272" i="1"/>
  <c r="DW272" i="1"/>
  <c r="DV272" i="1"/>
  <c r="DU272" i="1"/>
  <c r="DT272" i="1"/>
  <c r="DS272" i="1"/>
  <c r="DR272" i="1"/>
  <c r="DL272" i="1"/>
  <c r="DJ272" i="1"/>
  <c r="DI272" i="1"/>
  <c r="DH272" i="1"/>
  <c r="DF272" i="1"/>
  <c r="DE272" i="1"/>
  <c r="DD272" i="1"/>
  <c r="DC272" i="1"/>
  <c r="EQ268" i="1"/>
  <c r="DG268" i="1"/>
  <c r="BC268" i="1"/>
  <c r="EQ267" i="1"/>
  <c r="BC267" i="1"/>
  <c r="E24" i="6"/>
  <c r="E27" i="6" s="1"/>
  <c r="D24" i="6"/>
  <c r="E42" i="6"/>
  <c r="E30" i="6"/>
  <c r="E22" i="6"/>
  <c r="E21" i="6"/>
  <c r="D42" i="6"/>
  <c r="D30" i="6"/>
  <c r="C19" i="6"/>
  <c r="D22" i="6" s="1"/>
  <c r="C9" i="6"/>
  <c r="B9" i="6"/>
  <c r="E41" i="5"/>
  <c r="D41" i="5"/>
  <c r="E29" i="5"/>
  <c r="D29" i="5"/>
  <c r="E21" i="5"/>
  <c r="D21" i="5"/>
  <c r="E20" i="5"/>
  <c r="E23" i="5" s="1"/>
  <c r="E31" i="5" s="1"/>
  <c r="E43" i="5" s="1"/>
  <c r="C18" i="5"/>
  <c r="C19" i="5" s="1"/>
  <c r="C9" i="5"/>
  <c r="D20" i="5" s="1"/>
  <c r="B9" i="5"/>
  <c r="DG230" i="1"/>
  <c r="EQ229" i="1"/>
  <c r="EQ230" i="1"/>
  <c r="DL234" i="1"/>
  <c r="DJ234" i="1"/>
  <c r="DI234" i="1"/>
  <c r="DH234" i="1"/>
  <c r="DF234" i="1"/>
  <c r="DE234" i="1"/>
  <c r="DD234" i="1"/>
  <c r="BC230" i="1"/>
  <c r="B242" i="1"/>
  <c r="C237" i="1"/>
  <c r="B241" i="1" s="1"/>
  <c r="D236" i="1"/>
  <c r="E236" i="1" s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C234" i="1"/>
  <c r="ED234" i="1"/>
  <c r="BC229" i="1"/>
  <c r="EQ234" i="1" l="1"/>
  <c r="DG310" i="1"/>
  <c r="DK267" i="1"/>
  <c r="B317" i="1"/>
  <c r="EK346" i="1"/>
  <c r="E292" i="1"/>
  <c r="F312" i="1"/>
  <c r="F313" i="1" s="1"/>
  <c r="E284" i="1"/>
  <c r="E285" i="1"/>
  <c r="E286" i="1"/>
  <c r="F44" i="9"/>
  <c r="F47" i="9" s="1"/>
  <c r="F56" i="9"/>
  <c r="F68" i="9" s="1"/>
  <c r="F48" i="9"/>
  <c r="F58" i="9" s="1"/>
  <c r="E56" i="9"/>
  <c r="E68" i="9" s="1"/>
  <c r="E48" i="9"/>
  <c r="E58" i="9" s="1"/>
  <c r="E63" i="9" s="1"/>
  <c r="E70" i="9" s="1"/>
  <c r="E47" i="9"/>
  <c r="E55" i="9" s="1"/>
  <c r="E69" i="9" s="1"/>
  <c r="C55" i="9"/>
  <c r="C69" i="9" s="1"/>
  <c r="E57" i="9"/>
  <c r="E62" i="9" s="1"/>
  <c r="D55" i="9"/>
  <c r="D69" i="9" s="1"/>
  <c r="C57" i="9"/>
  <c r="C62" i="9" s="1"/>
  <c r="E13" i="3"/>
  <c r="D16" i="3"/>
  <c r="D24" i="3" s="1"/>
  <c r="D12" i="3"/>
  <c r="D27" i="3" s="1"/>
  <c r="C20" i="7"/>
  <c r="D21" i="7"/>
  <c r="E22" i="7"/>
  <c r="E21" i="7"/>
  <c r="D24" i="7"/>
  <c r="D32" i="7" s="1"/>
  <c r="D44" i="7" s="1"/>
  <c r="D26" i="7"/>
  <c r="DM310" i="1"/>
  <c r="E247" i="1"/>
  <c r="E298" i="1"/>
  <c r="DG272" i="1"/>
  <c r="B279" i="1"/>
  <c r="F274" i="1"/>
  <c r="F275" i="1" s="1"/>
  <c r="E254" i="1"/>
  <c r="DM272" i="1"/>
  <c r="E260" i="1"/>
  <c r="E26" i="6"/>
  <c r="C20" i="6"/>
  <c r="E36" i="6" s="1"/>
  <c r="D21" i="6"/>
  <c r="D25" i="5"/>
  <c r="D30" i="5" s="1"/>
  <c r="D35" i="5"/>
  <c r="D26" i="5"/>
  <c r="D33" i="5" s="1"/>
  <c r="E35" i="5"/>
  <c r="E26" i="5"/>
  <c r="E33" i="5"/>
  <c r="E25" i="5"/>
  <c r="E30" i="5"/>
  <c r="DG234" i="1"/>
  <c r="E246" i="1"/>
  <c r="E248" i="1"/>
  <c r="F236" i="1"/>
  <c r="F237" i="1" s="1"/>
  <c r="D237" i="1"/>
  <c r="E237" i="1" s="1"/>
  <c r="E287" i="1" l="1"/>
  <c r="EK268" i="1"/>
  <c r="ER268" i="1" s="1"/>
  <c r="EK348" i="1"/>
  <c r="ER346" i="1"/>
  <c r="F63" i="9"/>
  <c r="F70" i="9" s="1"/>
  <c r="F55" i="9"/>
  <c r="D57" i="9"/>
  <c r="D62" i="9" s="1"/>
  <c r="E16" i="3"/>
  <c r="E24" i="3" s="1"/>
  <c r="D19" i="3"/>
  <c r="D23" i="3" s="1"/>
  <c r="E24" i="7"/>
  <c r="E32" i="7" s="1"/>
  <c r="E44" i="7" s="1"/>
  <c r="E36" i="7"/>
  <c r="D36" i="7"/>
  <c r="D31" i="7"/>
  <c r="D27" i="7"/>
  <c r="D34" i="7" s="1"/>
  <c r="DN310" i="1"/>
  <c r="DN234" i="1"/>
  <c r="DK268" i="1"/>
  <c r="DP268" i="1" s="1"/>
  <c r="DN272" i="1"/>
  <c r="EK229" i="1"/>
  <c r="ER229" i="1" s="1"/>
  <c r="DK230" i="1"/>
  <c r="E290" i="1"/>
  <c r="E301" i="1" s="1"/>
  <c r="E31" i="6"/>
  <c r="D32" i="6"/>
  <c r="D44" i="6" s="1"/>
  <c r="D27" i="6"/>
  <c r="D34" i="6" s="1"/>
  <c r="D36" i="6"/>
  <c r="D26" i="6"/>
  <c r="D31" i="6" s="1"/>
  <c r="D38" i="5"/>
  <c r="D45" i="5" s="1"/>
  <c r="D32" i="5"/>
  <c r="D37" i="5" s="1"/>
  <c r="D42" i="5" s="1"/>
  <c r="D44" i="5" s="1"/>
  <c r="E38" i="5"/>
  <c r="E45" i="5" s="1"/>
  <c r="E32" i="5"/>
  <c r="E37" i="5" s="1"/>
  <c r="E42" i="5" s="1"/>
  <c r="E44" i="5" s="1"/>
  <c r="E258" i="1"/>
  <c r="E265" i="1" s="1"/>
  <c r="E251" i="1"/>
  <c r="E262" i="1" s="1"/>
  <c r="E249" i="1"/>
  <c r="DM234" i="1"/>
  <c r="ER348" i="1" l="1"/>
  <c r="AX346" i="1"/>
  <c r="F69" i="9"/>
  <c r="F57" i="9"/>
  <c r="F62" i="9" s="1"/>
  <c r="E19" i="3"/>
  <c r="E23" i="3" s="1"/>
  <c r="D25" i="3"/>
  <c r="E26" i="7"/>
  <c r="E31" i="7" s="1"/>
  <c r="E33" i="7" s="1"/>
  <c r="E43" i="7" s="1"/>
  <c r="E45" i="7" s="1"/>
  <c r="E27" i="7"/>
  <c r="E34" i="7" s="1"/>
  <c r="E39" i="7" s="1"/>
  <c r="E46" i="7" s="1"/>
  <c r="D39" i="7"/>
  <c r="D46" i="7"/>
  <c r="D33" i="7"/>
  <c r="D38" i="7" s="1"/>
  <c r="D43" i="7" s="1"/>
  <c r="D45" i="7" s="1"/>
  <c r="E342" i="1"/>
  <c r="EF310" i="1"/>
  <c r="EK267" i="1"/>
  <c r="EF234" i="1"/>
  <c r="EF272" i="1"/>
  <c r="E295" i="1"/>
  <c r="E302" i="1" s="1"/>
  <c r="E289" i="1"/>
  <c r="E300" i="1" s="1"/>
  <c r="DK272" i="1"/>
  <c r="DP267" i="1"/>
  <c r="DP272" i="1" s="1"/>
  <c r="DO272" i="1"/>
  <c r="E32" i="6"/>
  <c r="E44" i="6" s="1"/>
  <c r="E34" i="6"/>
  <c r="E39" i="6" s="1"/>
  <c r="E46" i="6" s="1"/>
  <c r="E33" i="6"/>
  <c r="E43" i="6" s="1"/>
  <c r="E45" i="6" s="1"/>
  <c r="D33" i="6"/>
  <c r="D38" i="6" s="1"/>
  <c r="D43" i="6" s="1"/>
  <c r="D45" i="6" s="1"/>
  <c r="D39" i="6"/>
  <c r="D46" i="6" s="1"/>
  <c r="EK230" i="1"/>
  <c r="ER230" i="1" s="1"/>
  <c r="ER234" i="1" s="1"/>
  <c r="E257" i="1"/>
  <c r="E264" i="1" s="1"/>
  <c r="DP230" i="1"/>
  <c r="EG234" i="1"/>
  <c r="D187" i="1"/>
  <c r="D186" i="1"/>
  <c r="C187" i="1"/>
  <c r="C186" i="1"/>
  <c r="D185" i="1"/>
  <c r="C185" i="1"/>
  <c r="D184" i="1"/>
  <c r="EM177" i="1"/>
  <c r="C184" i="1"/>
  <c r="B11" i="3"/>
  <c r="B13" i="3" s="1"/>
  <c r="C27" i="3"/>
  <c r="C44" i="3" s="1"/>
  <c r="B22" i="3"/>
  <c r="B48" i="3" s="1"/>
  <c r="C22" i="3"/>
  <c r="C48" i="3" s="1"/>
  <c r="B39" i="3"/>
  <c r="EN177" i="1"/>
  <c r="D181" i="1"/>
  <c r="C181" i="1"/>
  <c r="DS177" i="1"/>
  <c r="EQ176" i="1"/>
  <c r="ED176" i="1"/>
  <c r="EQ175" i="1"/>
  <c r="ED175" i="1"/>
  <c r="E152" i="1"/>
  <c r="D149" i="1"/>
  <c r="C149" i="1"/>
  <c r="DS145" i="1"/>
  <c r="EQ144" i="1"/>
  <c r="ED144" i="1"/>
  <c r="EQ143" i="1"/>
  <c r="ED143" i="1"/>
  <c r="BE143" i="1"/>
  <c r="BF143" i="1" s="1"/>
  <c r="E137" i="1"/>
  <c r="D134" i="1"/>
  <c r="C134" i="1"/>
  <c r="DS131" i="1"/>
  <c r="EQ130" i="1"/>
  <c r="ED130" i="1"/>
  <c r="EQ129" i="1"/>
  <c r="ED129" i="1"/>
  <c r="E106" i="1"/>
  <c r="D103" i="1"/>
  <c r="C103" i="1"/>
  <c r="DS99" i="1"/>
  <c r="EQ98" i="1"/>
  <c r="ED98" i="1"/>
  <c r="BE98" i="1"/>
  <c r="BF98" i="1" s="1"/>
  <c r="EQ97" i="1"/>
  <c r="ED97" i="1"/>
  <c r="BE97" i="1"/>
  <c r="BF97" i="1" s="1"/>
  <c r="B80" i="1"/>
  <c r="B51" i="1"/>
  <c r="EQ177" i="1" l="1"/>
  <c r="DK310" i="1"/>
  <c r="DO310" i="1"/>
  <c r="DP310" i="1"/>
  <c r="E25" i="3"/>
  <c r="D34" i="3"/>
  <c r="EG310" i="1"/>
  <c r="EK272" i="1"/>
  <c r="ER267" i="1"/>
  <c r="ER272" i="1" s="1"/>
  <c r="EK234" i="1"/>
  <c r="EG272" i="1"/>
  <c r="E252" i="1"/>
  <c r="E263" i="1" s="1"/>
  <c r="DK229" i="1"/>
  <c r="DO234" i="1"/>
  <c r="E185" i="1"/>
  <c r="E187" i="1"/>
  <c r="E184" i="1"/>
  <c r="E186" i="1"/>
  <c r="B12" i="3"/>
  <c r="BE176" i="1"/>
  <c r="BF176" i="1" s="1"/>
  <c r="C13" i="3"/>
  <c r="C16" i="3" s="1"/>
  <c r="E181" i="1"/>
  <c r="ED177" i="1"/>
  <c r="BE175" i="1"/>
  <c r="BF175" i="1" s="1"/>
  <c r="ED131" i="1"/>
  <c r="E149" i="1"/>
  <c r="E151" i="1" s="1"/>
  <c r="ED145" i="1"/>
  <c r="BE144" i="1"/>
  <c r="BF144" i="1" s="1"/>
  <c r="E134" i="1"/>
  <c r="E136" i="1" s="1"/>
  <c r="EE131" i="1"/>
  <c r="E103" i="1"/>
  <c r="E105" i="1" s="1"/>
  <c r="ED99" i="1"/>
  <c r="EE99" i="1"/>
  <c r="E34" i="3" l="1"/>
  <c r="EK310" i="1"/>
  <c r="ER310" i="1"/>
  <c r="E343" i="1"/>
  <c r="E296" i="1"/>
  <c r="E303" i="1" s="1"/>
  <c r="DK234" i="1"/>
  <c r="DP229" i="1"/>
  <c r="DP234" i="1" s="1"/>
  <c r="B27" i="3"/>
  <c r="B19" i="3"/>
  <c r="B23" i="3" s="1"/>
  <c r="C24" i="3"/>
  <c r="C41" i="3" s="1"/>
  <c r="C50" i="3" s="1"/>
  <c r="E156" i="1"/>
  <c r="EE145" i="1"/>
  <c r="EK144" i="1"/>
  <c r="ER144" i="1" s="1"/>
  <c r="AX144" i="1" s="1"/>
  <c r="EF145" i="1"/>
  <c r="E154" i="1"/>
  <c r="E157" i="1"/>
  <c r="E138" i="1"/>
  <c r="EF131" i="1"/>
  <c r="EK130" i="1"/>
  <c r="ER130" i="1" s="1"/>
  <c r="AX130" i="1" s="1"/>
  <c r="E140" i="1"/>
  <c r="E108" i="1"/>
  <c r="EK97" i="1"/>
  <c r="EF99" i="1"/>
  <c r="E110" i="1"/>
  <c r="EK98" i="1"/>
  <c r="ER98" i="1" s="1"/>
  <c r="AX98" i="1" s="1"/>
  <c r="B44" i="3" l="1"/>
  <c r="B53" i="3" s="1"/>
  <c r="B37" i="3"/>
  <c r="D37" i="3" s="1"/>
  <c r="D44" i="3" s="1"/>
  <c r="B25" i="3"/>
  <c r="E155" i="1"/>
  <c r="EG145" i="1"/>
  <c r="C19" i="3"/>
  <c r="C23" i="3" s="1"/>
  <c r="EG131" i="1"/>
  <c r="E139" i="1"/>
  <c r="EK143" i="1"/>
  <c r="E141" i="1"/>
  <c r="EK129" i="1"/>
  <c r="E111" i="1"/>
  <c r="EK99" i="1"/>
  <c r="ER97" i="1"/>
  <c r="EG99" i="1"/>
  <c r="E109" i="1"/>
  <c r="E41" i="3" l="1"/>
  <c r="E50" i="3" s="1"/>
  <c r="E35" i="3"/>
  <c r="E40" i="3" s="1"/>
  <c r="B34" i="3"/>
  <c r="B36" i="3" s="1"/>
  <c r="D36" i="3" s="1"/>
  <c r="B35" i="3"/>
  <c r="E191" i="1"/>
  <c r="EK176" i="1"/>
  <c r="ER176" i="1" s="1"/>
  <c r="AX176" i="1" s="1"/>
  <c r="E189" i="1"/>
  <c r="EF177" i="1"/>
  <c r="EE177" i="1"/>
  <c r="E190" i="1"/>
  <c r="C25" i="3"/>
  <c r="EK145" i="1"/>
  <c r="ER143" i="1"/>
  <c r="EK131" i="1"/>
  <c r="ER129" i="1"/>
  <c r="ER99" i="1"/>
  <c r="AX97" i="1"/>
  <c r="D41" i="3" l="1"/>
  <c r="D50" i="3" s="1"/>
  <c r="D35" i="3"/>
  <c r="D40" i="3" s="1"/>
  <c r="D42" i="3" s="1"/>
  <c r="D46" i="3" s="1"/>
  <c r="D49" i="3" s="1"/>
  <c r="D51" i="3" s="1"/>
  <c r="E42" i="3"/>
  <c r="E46" i="3" s="1"/>
  <c r="E49" i="3" s="1"/>
  <c r="E51" i="3" s="1"/>
  <c r="C34" i="3"/>
  <c r="C35" i="3"/>
  <c r="B40" i="3"/>
  <c r="B42" i="3"/>
  <c r="B46" i="3" s="1"/>
  <c r="B49" i="3" s="1"/>
  <c r="B51" i="3" s="1"/>
  <c r="E192" i="1"/>
  <c r="EK175" i="1"/>
  <c r="EG177" i="1"/>
  <c r="ER145" i="1"/>
  <c r="AX143" i="1"/>
  <c r="ER131" i="1"/>
  <c r="AX129" i="1"/>
  <c r="C40" i="3" l="1"/>
  <c r="ER175" i="1"/>
  <c r="EK177" i="1"/>
  <c r="C42" i="3" l="1"/>
  <c r="C49" i="3" s="1"/>
  <c r="C51" i="3" s="1"/>
  <c r="ER177" i="1"/>
  <c r="AX175" i="1"/>
  <c r="C75" i="1" l="1"/>
  <c r="D74" i="1"/>
  <c r="E74" i="1" s="1"/>
  <c r="C56" i="1"/>
  <c r="E56" i="1" s="1"/>
  <c r="C55" i="1"/>
  <c r="E55" i="1" s="1"/>
  <c r="ED41" i="1"/>
  <c r="ED43" i="1" s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60" i="1"/>
  <c r="DC43" i="1"/>
  <c r="BC41" i="1"/>
  <c r="BC40" i="1"/>
  <c r="D45" i="1"/>
  <c r="E45" i="1" s="1"/>
  <c r="E58" i="1" l="1"/>
  <c r="D75" i="1"/>
  <c r="E75" i="1" s="1"/>
  <c r="B79" i="1"/>
  <c r="F74" i="1"/>
  <c r="F75" i="1" s="1"/>
  <c r="C60" i="1"/>
  <c r="E60" i="1" s="1"/>
  <c r="C46" i="1"/>
  <c r="E30" i="1"/>
  <c r="D27" i="1"/>
  <c r="C27" i="1"/>
  <c r="D10" i="1"/>
  <c r="C10" i="1"/>
  <c r="ED5" i="1"/>
  <c r="ED4" i="1"/>
  <c r="BE4" i="1"/>
  <c r="BF4" i="1" s="1"/>
  <c r="EQ5" i="1"/>
  <c r="EQ4" i="1"/>
  <c r="DS6" i="1"/>
  <c r="B50" i="1" l="1"/>
  <c r="F45" i="1"/>
  <c r="F46" i="1" s="1"/>
  <c r="EK40" i="1"/>
  <c r="G74" i="1"/>
  <c r="E63" i="1"/>
  <c r="EF43" i="1"/>
  <c r="DO41" i="1"/>
  <c r="DK41" i="1" s="1"/>
  <c r="DP41" i="1" s="1"/>
  <c r="D61" i="1"/>
  <c r="DN43" i="1"/>
  <c r="D46" i="1"/>
  <c r="E46" i="1" s="1"/>
  <c r="E27" i="1"/>
  <c r="E29" i="1" s="1"/>
  <c r="BE5" i="1"/>
  <c r="BF5" i="1" s="1"/>
  <c r="ER40" i="1" l="1"/>
  <c r="C61" i="1"/>
  <c r="DO40" i="1"/>
  <c r="DO43" i="1" s="1"/>
  <c r="EK41" i="1"/>
  <c r="EK43" i="1" s="1"/>
  <c r="EG43" i="1"/>
  <c r="E17" i="1"/>
  <c r="EK4" i="1"/>
  <c r="EE6" i="1"/>
  <c r="EK5" i="1"/>
  <c r="ER5" i="1" s="1"/>
  <c r="AX5" i="1" s="1"/>
  <c r="EF6" i="1"/>
  <c r="ER4" i="1" l="1"/>
  <c r="AX4" i="1" s="1"/>
  <c r="EK6" i="1"/>
  <c r="E64" i="1"/>
  <c r="E66" i="1" s="1"/>
  <c r="E61" i="1"/>
  <c r="E65" i="1" s="1"/>
  <c r="ER41" i="1"/>
  <c r="ER43" i="1" s="1"/>
  <c r="DK40" i="1"/>
  <c r="DK43" i="1" s="1"/>
  <c r="E15" i="1"/>
  <c r="DP40" i="1" l="1"/>
  <c r="DP43" i="1" s="1"/>
  <c r="E10" i="1" l="1"/>
  <c r="E12" i="1" s="1"/>
  <c r="ED6" i="1"/>
  <c r="EG6" i="1"/>
  <c r="ER6" i="1" l="1"/>
</calcChain>
</file>

<file path=xl/sharedStrings.xml><?xml version="1.0" encoding="utf-8"?>
<sst xmlns="http://schemas.openxmlformats.org/spreadsheetml/2006/main" count="3621" uniqueCount="411">
  <si>
    <t>Scenario</t>
  </si>
  <si>
    <t>FinancialYear</t>
  </si>
  <si>
    <t>FinancialPeriod</t>
  </si>
  <si>
    <t>AssetRegisterItemID</t>
  </si>
  <si>
    <t>MunicipalAssetID</t>
  </si>
  <si>
    <t>ParentAssetRegisterItem_ID</t>
  </si>
  <si>
    <t>MainAssetDescription</t>
  </si>
  <si>
    <t>MainAssetID</t>
  </si>
  <si>
    <t>AssetDescription</t>
  </si>
  <si>
    <t>OldBarcode</t>
  </si>
  <si>
    <t>Barcode</t>
  </si>
  <si>
    <t>ImageRef</t>
  </si>
  <si>
    <t>AssetType</t>
  </si>
  <si>
    <t>AssetCategory</t>
  </si>
  <si>
    <t>AssetSubCategory</t>
  </si>
  <si>
    <t>AssetClass</t>
  </si>
  <si>
    <t>MeasurementType_ID2</t>
  </si>
  <si>
    <t>AssetStatus</t>
  </si>
  <si>
    <t>CIDMSSubComponentType</t>
  </si>
  <si>
    <t>CIDMSComponentType</t>
  </si>
  <si>
    <t>CIDMSAccountingGroup</t>
  </si>
  <si>
    <t>CIDMSSubAccountingGroup</t>
  </si>
  <si>
    <t>CIDMSAssetClass</t>
  </si>
  <si>
    <t>CIDMSAssetGroupType</t>
  </si>
  <si>
    <t>CIDMSAssetType</t>
  </si>
  <si>
    <t>NatureOfAddition</t>
  </si>
  <si>
    <t>InfrastructurOrNonInfrastructure</t>
  </si>
  <si>
    <t>CashNonCashGeneratingUnit</t>
  </si>
  <si>
    <t>FinancialStatus</t>
  </si>
  <si>
    <t>TakeOnDate</t>
  </si>
  <si>
    <t>AquisitionDate</t>
  </si>
  <si>
    <t>System_In_Service_Date</t>
  </si>
  <si>
    <t>DisposalDate</t>
  </si>
  <si>
    <t>DisposalReason</t>
  </si>
  <si>
    <t>Impairment_Date</t>
  </si>
  <si>
    <t>DateModified</t>
  </si>
  <si>
    <t>VerificationDate</t>
  </si>
  <si>
    <t>VerificationDoneBy</t>
  </si>
  <si>
    <t>YearConstructed</t>
  </si>
  <si>
    <t>CommisioningDate</t>
  </si>
  <si>
    <t>ConstructionMaterial</t>
  </si>
  <si>
    <t>ForecastReplacementYear</t>
  </si>
  <si>
    <t>AssetCondition</t>
  </si>
  <si>
    <t>InsuranceCover</t>
  </si>
  <si>
    <t>InsurancePolicy</t>
  </si>
  <si>
    <t>Warranty</t>
  </si>
  <si>
    <t>CurrentReplacementCostCRC</t>
  </si>
  <si>
    <t>DepreciatedReplacementCostDRC</t>
  </si>
  <si>
    <t>AnnualisedMaintenanceCRC</t>
  </si>
  <si>
    <t>AnnualMaintenanceBudgetNeed</t>
  </si>
  <si>
    <t>DepreciationMethod</t>
  </si>
  <si>
    <t>UsefulLifeYearComponent</t>
  </si>
  <si>
    <t>UsefulLifeMonthComponent</t>
  </si>
  <si>
    <t>UsefulLifeDaysComponent</t>
  </si>
  <si>
    <t>Remaining_Useful_Life_Year</t>
  </si>
  <si>
    <t>Remaining_Useful_Life_Months</t>
  </si>
  <si>
    <t>Remaining_Useful_Life_Days</t>
  </si>
  <si>
    <t>RemainingUsefulllifeAtTakeon</t>
  </si>
  <si>
    <t>UOM</t>
  </si>
  <si>
    <t>Dim1</t>
  </si>
  <si>
    <t>Dim2</t>
  </si>
  <si>
    <t>Dim3</t>
  </si>
  <si>
    <t>DimensionQuantity</t>
  </si>
  <si>
    <t>Quantity</t>
  </si>
  <si>
    <t>Diameter</t>
  </si>
  <si>
    <t>Capacity</t>
  </si>
  <si>
    <t>SGNumberChange_ID</t>
  </si>
  <si>
    <t>DeedNumber</t>
  </si>
  <si>
    <t>ErfNumber</t>
  </si>
  <si>
    <t>ErfSizeM2</t>
  </si>
  <si>
    <t>PortionNumber</t>
  </si>
  <si>
    <t>UnitNumber</t>
  </si>
  <si>
    <t>RegistrationNumber</t>
  </si>
  <si>
    <t>SerialNumber</t>
  </si>
  <si>
    <t>CustodianName</t>
  </si>
  <si>
    <t>CustodianIdNumber</t>
  </si>
  <si>
    <t>BasicMunicipalServices</t>
  </si>
  <si>
    <t>CriticalityGrade</t>
  </si>
  <si>
    <t>PerformanceGrade</t>
  </si>
  <si>
    <t>UtilisationGrade</t>
  </si>
  <si>
    <t>InfrastructureHealthGrade</t>
  </si>
  <si>
    <t>ConsequenceOfFailure</t>
  </si>
  <si>
    <t>Risk</t>
  </si>
  <si>
    <t>AssetOwnership</t>
  </si>
  <si>
    <t>Department</t>
  </si>
  <si>
    <t>Division</t>
  </si>
  <si>
    <t>Town</t>
  </si>
  <si>
    <t>StreetName</t>
  </si>
  <si>
    <t>Building</t>
  </si>
  <si>
    <t>Ward</t>
  </si>
  <si>
    <t>Zoning</t>
  </si>
  <si>
    <t>FloorArea</t>
  </si>
  <si>
    <t>RoomNumber</t>
  </si>
  <si>
    <t>Suburb</t>
  </si>
  <si>
    <t>WellKnownTextWKT</t>
  </si>
  <si>
    <t>GISID</t>
  </si>
  <si>
    <t>Latitude</t>
  </si>
  <si>
    <t>Longitude</t>
  </si>
  <si>
    <t>FundingSourceAmount</t>
  </si>
  <si>
    <t>FundingSourceNumber</t>
  </si>
  <si>
    <t>FundType</t>
  </si>
  <si>
    <t>CostOfAddition</t>
  </si>
  <si>
    <t>Revaluation_Date</t>
  </si>
  <si>
    <t>Revaluation_Value</t>
  </si>
  <si>
    <t>Accumulated_Revalutions_Opening_Balance</t>
  </si>
  <si>
    <t>Revaluation_Reserve_Impairments_OpeningBalance</t>
  </si>
  <si>
    <t>Revaluation_Reserve_Impairments</t>
  </si>
  <si>
    <t>Revaluation_Reserve_Impairment_Reversals</t>
  </si>
  <si>
    <t>Revaluation_Reserve_Impairments_ClosingBalance</t>
  </si>
  <si>
    <t>Revaluation_Reserve_Revaluations</t>
  </si>
  <si>
    <t>Revaluation_Reserve_Disposals</t>
  </si>
  <si>
    <t>Refurb_Revaluation</t>
  </si>
  <si>
    <t>Accumulated_Revaluation_Closing_Balance</t>
  </si>
  <si>
    <t>Movement_In_Revaluation_Reserve</t>
  </si>
  <si>
    <t>DepreciationOffsetOpeningBalance</t>
  </si>
  <si>
    <t>DepreciationOffset</t>
  </si>
  <si>
    <t>DepreciationOffsetClosingBalance</t>
  </si>
  <si>
    <t>Revaluation_Surplus_Deficit</t>
  </si>
  <si>
    <t>Deemed_Cost</t>
  </si>
  <si>
    <t>Cost_OpeningBalance</t>
  </si>
  <si>
    <t>Cost_RestatedOpeningBalance</t>
  </si>
  <si>
    <t>Cost_Acquisitions</t>
  </si>
  <si>
    <t>Cost_RisidualValue</t>
  </si>
  <si>
    <t>WorkInProgress</t>
  </si>
  <si>
    <t>TransferFromAmount</t>
  </si>
  <si>
    <t>TransferToAmount</t>
  </si>
  <si>
    <t>RefurbishmentCredit</t>
  </si>
  <si>
    <t>RefurbishmentDebit</t>
  </si>
  <si>
    <t>Cost_FairValueAdjustment</t>
  </si>
  <si>
    <t>Revaluation_Adjustment</t>
  </si>
  <si>
    <t>Cost_Disposal</t>
  </si>
  <si>
    <t>Cost_ClosingBalance</t>
  </si>
  <si>
    <t>AccumulatedDepreciation_OpeningBalance</t>
  </si>
  <si>
    <t>AccumulatedDepreciation_RestatedOpeningBalance</t>
  </si>
  <si>
    <t>AccumulatedDepreciation_Depreciation</t>
  </si>
  <si>
    <t>DepreciationAdjustments</t>
  </si>
  <si>
    <t>AccumulatedDepreciation_Disposal</t>
  </si>
  <si>
    <t>Refurb_Depreciation</t>
  </si>
  <si>
    <t>AccumulatedDepreciation_ClosingBalance</t>
  </si>
  <si>
    <t>AccumulatedImpairment_OpeningBalance</t>
  </si>
  <si>
    <t>AccumulatedImpairment_RestatedOpeningBalance</t>
  </si>
  <si>
    <t>AccumulatedImpairmentImpairment</t>
  </si>
  <si>
    <t>AccumulatedImpairment_ReversalOfImpairment</t>
  </si>
  <si>
    <t>AccumulatedImpairment_Disposal</t>
  </si>
  <si>
    <t>AccumulatedImpairment_ClosingBalance</t>
  </si>
  <si>
    <t>CarryingAmount</t>
  </si>
  <si>
    <t>Disposal_Proceeds</t>
  </si>
  <si>
    <t>Disposal_Profit_Loss</t>
  </si>
  <si>
    <t>DonorIDRegistrationNumberParastatalCode</t>
  </si>
  <si>
    <t>DonorNameCompanyRegistrationNumberParastatalName</t>
  </si>
  <si>
    <t>Date_Donated</t>
  </si>
  <si>
    <t>Make</t>
  </si>
  <si>
    <t>Model</t>
  </si>
  <si>
    <t>Custom_1</t>
  </si>
  <si>
    <t>Custom_2</t>
  </si>
  <si>
    <t>Custom_3</t>
  </si>
  <si>
    <t>Custom_4</t>
  </si>
  <si>
    <t>Custom_5</t>
  </si>
  <si>
    <t>Custom_6</t>
  </si>
  <si>
    <t>Custom_7</t>
  </si>
  <si>
    <t>Custom_8</t>
  </si>
  <si>
    <t>Custom_9</t>
  </si>
  <si>
    <t>1.1 - Cost increase due to incorrect t treatment of WIP, Retentions, VAT, etc. Cost increases from R3,046,098.51 to R3,807,623.14</t>
  </si>
  <si>
    <t>Original values captured</t>
  </si>
  <si>
    <t>2025/2026</t>
  </si>
  <si>
    <t>RD07909/000</t>
  </si>
  <si>
    <t>RD07909</t>
  </si>
  <si>
    <t>Unpaved Road</t>
  </si>
  <si>
    <t>Property, Plant and Equipment</t>
  </si>
  <si>
    <t>Roads Infrastructure</t>
  </si>
  <si>
    <t>Roads</t>
  </si>
  <si>
    <t>Revaluation Module</t>
  </si>
  <si>
    <t>Property, plant and equipment</t>
  </si>
  <si>
    <t>Infrastructure assets</t>
  </si>
  <si>
    <t>Roads infrastructure</t>
  </si>
  <si>
    <t>Pavements</t>
  </si>
  <si>
    <t>New</t>
  </si>
  <si>
    <t>Infrastructure</t>
  </si>
  <si>
    <t>Non Cash</t>
  </si>
  <si>
    <t>EAR (Existing Asset Register)</t>
  </si>
  <si>
    <t>Lundi Knox Nxawe</t>
  </si>
  <si>
    <t>Good</t>
  </si>
  <si>
    <t>No</t>
  </si>
  <si>
    <t>Straight-line</t>
  </si>
  <si>
    <t>Square Meter</t>
  </si>
  <si>
    <t>Zanele Nontando Mbusi</t>
  </si>
  <si>
    <t>830910xxxxxxx</t>
  </si>
  <si>
    <t>Yes</t>
  </si>
  <si>
    <t>Important</t>
  </si>
  <si>
    <t>Meets requirements</t>
  </si>
  <si>
    <t>Normal use</t>
  </si>
  <si>
    <t>Very good</t>
  </si>
  <si>
    <t>Moderate</t>
  </si>
  <si>
    <t>Medium</t>
  </si>
  <si>
    <t>Mnquma Local Municipality</t>
  </si>
  <si>
    <t>Infrastructural Planning &amp; Development</t>
  </si>
  <si>
    <t>Civil Services</t>
  </si>
  <si>
    <t>Butterworth</t>
  </si>
  <si>
    <t>Ward 1</t>
  </si>
  <si>
    <t>{539308C0-87C6-4256-BD2D-FD6198DF208C}</t>
  </si>
  <si>
    <t>Corrected values</t>
  </si>
  <si>
    <t>Net Correction</t>
  </si>
  <si>
    <t>Description</t>
  </si>
  <si>
    <t>Current balance</t>
  </si>
  <si>
    <t>Corrected Balance</t>
  </si>
  <si>
    <t>Journal - Debit/ (Credit)</t>
  </si>
  <si>
    <t>Cost - Roads - Periods before  2024</t>
  </si>
  <si>
    <t>Cost - Roads - Period 2024</t>
  </si>
  <si>
    <t>Cost - Roads - Period 2025</t>
  </si>
  <si>
    <t>Accumulated Surplus/WIP/Accruals/VAT before 2025</t>
  </si>
  <si>
    <t>Accumulated Surplus/WIP/Accruals/VAT  2025</t>
  </si>
  <si>
    <t>Accumulated Depreciation - Roads - Before 2024</t>
  </si>
  <si>
    <t>Accumulated Depreciation - Roads - 2024</t>
  </si>
  <si>
    <t>Accumulated Depreciation - Roads - 2025</t>
  </si>
  <si>
    <t>Accumulated Surplus - Deprecation Charges before 2025</t>
  </si>
  <si>
    <t>Accumulated Surplus - Deprecation Charges 2025</t>
  </si>
  <si>
    <t>1.2 - Cost decrease due to incorrect t treatment of WIP, Retentions, VAT, etc. Cost decreases from R3,046,098.51 to R2,284,573.88</t>
  </si>
  <si>
    <t>Depreciation_Offset</t>
  </si>
  <si>
    <t>2.1 - Asset was revalued on 30 June 2023. The balances at 30 June 2023 = Revaluation reserv = (5,660,048.60), Cost = 12,164,247.00, Acc Dep = (6,020,788.83), RUL = 5534, EUL = 10957.5, Value = 6,143,458.17
Change valuation to R7,500,500.00</t>
  </si>
  <si>
    <t>2024/2025</t>
  </si>
  <si>
    <t>RD06804/000</t>
  </si>
  <si>
    <t>RD06804</t>
  </si>
  <si>
    <t>Bridge Sub Structure</t>
  </si>
  <si>
    <t>Road structures</t>
  </si>
  <si>
    <t>Road bridges</t>
  </si>
  <si>
    <t>Each</t>
  </si>
  <si>
    <t>{8BEA2AE3-F204-4829-8828-5B4A7F3E8976}</t>
  </si>
  <si>
    <t>Revaluation reserve balance</t>
  </si>
  <si>
    <t>Cost</t>
  </si>
  <si>
    <t>Accumulated Depreciation</t>
  </si>
  <si>
    <t>EUL</t>
  </si>
  <si>
    <t>RUL</t>
  </si>
  <si>
    <t>Carrying value before revaluation</t>
  </si>
  <si>
    <t>Revaluation reserve balance before revalaution</t>
  </si>
  <si>
    <t>Value adjustment</t>
  </si>
  <si>
    <t>Revaluation reserve adjustment</t>
  </si>
  <si>
    <t>Original revaluation entry</t>
  </si>
  <si>
    <t>Revaluation Reserve</t>
  </si>
  <si>
    <t xml:space="preserve">Cost </t>
  </si>
  <si>
    <t>RR Offset  before 2024</t>
  </si>
  <si>
    <t>RR Offset 2024</t>
  </si>
  <si>
    <t>RR Offset 2025</t>
  </si>
  <si>
    <t>Accumulated Depreciation - Depreciation Charges before 2024</t>
  </si>
  <si>
    <t>Accumulated Depreciation - Depreciation Charges 2024</t>
  </si>
  <si>
    <t>Accumulated Depreciation - Depreciation Charges 2025</t>
  </si>
  <si>
    <t>Accumulated Surplus - RR Offset</t>
  </si>
  <si>
    <t>Accumulated Surplus - Depreciation charges</t>
  </si>
  <si>
    <t>2.2 - Asset was revalued on 30 June 2023. The balances at 30 June 2023 = Revaluation reserv = (5,660,048.60), Cost = 12,164,247.00, Acc Dep = (6,020,788.83), RUL = 5534, EUL = 10957.5, Value = 6,143,458.17
Change valuation to R5,500,500.00</t>
  </si>
  <si>
    <t>RR Offset before 2024</t>
  </si>
  <si>
    <t>3.1 - Asset at deemed cost, acquisition date captured incorrectly at 2024/06/20 instead of 2024/01/15</t>
  </si>
  <si>
    <t>3.2 - Asset at deemed cost, acquisition date captured incorrectly at 2024/06/20 instead of 2024/06/29</t>
  </si>
  <si>
    <t>Accumulated Surplus/WIP/Accruals/VAT before 2024</t>
  </si>
  <si>
    <t>Accumulated Surplus/WIP/Accruals/VAT  2024</t>
  </si>
  <si>
    <t>Accumulated Surplus - Deprecation Charges before 2024</t>
  </si>
  <si>
    <t>Accumulated Surplus - Deprecation Charges 2024</t>
  </si>
  <si>
    <t>4.1 - Asset not recognised - Newly identified, Donated asset, etc - FV - take on date 20 June 2024, deemed cost R3,046,098.51, RUL at take on is 2950 days</t>
  </si>
  <si>
    <t>Cost - Roads - Period before 2025</t>
  </si>
  <si>
    <t>Accumulated Surplus - FV Gain/ Donation received before 2025</t>
  </si>
  <si>
    <t>Accumulated Surplus - FV Gain/ Donation received 2025</t>
  </si>
  <si>
    <t>Accumulated Depreciation - Roads - Before 2025</t>
  </si>
  <si>
    <t>5.1 -Residual value not captured - Should be R304,609.85</t>
  </si>
  <si>
    <t>5.2 -Residual value captured as R500,100.00 instead of R304,610.00</t>
  </si>
  <si>
    <t>6.1 - Asset should have been impaired on 20 June 2024 to R1,200,000.00 - RUL at impairment date = 730 days</t>
  </si>
  <si>
    <t>Accumulated Impairment Roads Before 2024</t>
  </si>
  <si>
    <t>Accumulated Impairment Roads 2024</t>
  </si>
  <si>
    <t>Accumulated Impairment Roads 2025</t>
  </si>
  <si>
    <t>Accumulated Surplus - Impairment Losses before 2025</t>
  </si>
  <si>
    <t>Accumulated Surplus - Impairment Losses 2025</t>
  </si>
  <si>
    <t>6.2 - Asset was impaired on 20 June 2024 to R1,200,000.00 - RUL at impairment date = 730 days It should have been impaired to R1,400,000</t>
  </si>
  <si>
    <t>Accumulated Surplus - Impairment Losses before 2024</t>
  </si>
  <si>
    <t>6.3 - Asset was impaired on 20 June 2024 to R1,200,000.00 - RUL at impairment date = 730 days It should have been impaired to R1,000,000</t>
  </si>
  <si>
    <t>Cost - Roads - Period before 2024</t>
  </si>
  <si>
    <t>7.1 - Asset was revalued on 30 June 2023. The balances at 30 June 2023 = Revaluation reserv = (5,660,048.60), Cost = 12,164,247.00, Acc Dep = (6,020,788.83), RUL = 5534, EUL = 10957.5, Value = 6,143,458.17
Asset was supposed to be impaired to R3000000 on 20 June 2024 with RUL of 2192</t>
  </si>
  <si>
    <t>Revaluation date</t>
  </si>
  <si>
    <t>Year 1</t>
  </si>
  <si>
    <t>Impairment date</t>
  </si>
  <si>
    <t>Year 2</t>
  </si>
  <si>
    <t>RUL after impairment</t>
  </si>
  <si>
    <t>Original revaluation entry - 2023</t>
  </si>
  <si>
    <t>Revaluation Reserve - Depreciation Offset before 2024</t>
  </si>
  <si>
    <t>Revaluation Reserve - Depreciation Offset 2024</t>
  </si>
  <si>
    <t>Revaluation Reserve - Depreciation Offset 2025</t>
  </si>
  <si>
    <t>Revaluation Reserve - Impairment before 2024</t>
  </si>
  <si>
    <t>Revaluation Reserve - Impairment 2024</t>
  </si>
  <si>
    <t>NB: This amount will be limited to the balance availible on the RR, if it exceeds the RR the balance must go to the Income statement as an impairment loss</t>
  </si>
  <si>
    <t>Revaluation Reserve - Impairment 2025</t>
  </si>
  <si>
    <t>Accumulated Impairment - Impairment Losses before 2024</t>
  </si>
  <si>
    <t>Accumulated Impairment - Impairment Losses 2024</t>
  </si>
  <si>
    <t>Accumulated Impairment - Impairment Losses 2025</t>
  </si>
  <si>
    <t>Accumulates Surplus - Offset - Below the line - 2024</t>
  </si>
  <si>
    <t>Accumulates Surplus - Offset - Below the line - 2025</t>
  </si>
  <si>
    <t>Accumulates Surplus - Depreciation Charges 2024</t>
  </si>
  <si>
    <t>Accumulates Surplus - Depreciation Charges 2025</t>
  </si>
  <si>
    <t>7.2 - Asset was revalued on 30 June 2023. The balances at 30 June 2023 = Revaluation reserv = (5,660,048.60), Cost = 12,164,247.00, Acc Dep = (6,020,788.83), RUL = 5534, EUL = 10957.5, Value = 6,143,458.17
Asset was impaired to R3000000 on 20 June 2024 with RUL of 2192. It should have been impaired to R2000000</t>
  </si>
  <si>
    <t>7.3 - Asset was revalued on 30 June 2023. The balances at 30 June 2023 = Revaluation reserv = (5,660,048.60), Cost = 12,164,247.00, Acc Dep = (6,020,788.83), RUL = 5534, EUL = 10957.5, Value = 6,143,458.17
Asset was impaired to R3000000 on 20 June 2024 with RUL of 2192. It should have been impaired to R4000000</t>
  </si>
  <si>
    <t>8.1 - Asset is on Cost. It was acquied on 2023/01/15 and  was impaired on 20 June 2023 to R1,200,000.00 - RUL at impairment date = 1460 days. An impairment reversal should have been done on 2023/12/15, RUL at reversal = 3315 days</t>
  </si>
  <si>
    <t>Acquisition date</t>
  </si>
  <si>
    <t>RUL at impairment</t>
  </si>
  <si>
    <t>Impairment reversal date</t>
  </si>
  <si>
    <t>RUL at reversal</t>
  </si>
  <si>
    <t>Year 3</t>
  </si>
  <si>
    <t>Accumulated Surplus - Impairment Reversal before 2024</t>
  </si>
  <si>
    <t>Accumulated Surplus - Impairment Reversal 2024</t>
  </si>
  <si>
    <r>
      <t xml:space="preserve">8.2 - Asset is on Cost. It was acquied on 2023/01/15 and  was impaired on 20 June 2023 to R1,200,000.00 - RUL at impairment date = 1460 days. A </t>
    </r>
    <r>
      <rPr>
        <b/>
        <u/>
        <sz val="11"/>
        <color theme="1"/>
        <rFont val="Aptos Narrow"/>
        <family val="2"/>
        <scheme val="minor"/>
      </rPr>
      <t>partial</t>
    </r>
    <r>
      <rPr>
        <sz val="11"/>
        <color theme="1"/>
        <rFont val="Aptos Narrow"/>
        <family val="2"/>
        <scheme val="minor"/>
      </rPr>
      <t xml:space="preserve"> impairment reversal should have been done on 2023/12/15. RUL at reversal = 3315 days</t>
    </r>
  </si>
  <si>
    <t>9.1 Asset revalues on 30 June 2022, subsequently impaired to R3m on 2023/06/20. On 2024/06/20 the impairment was reversed</t>
  </si>
  <si>
    <t>Original revaluation entry 2022</t>
  </si>
  <si>
    <t>Accumulated Impairment - Impairment Losses/ Reversal 2024</t>
  </si>
  <si>
    <t>Accumulated Impairment - Impairment Losses/ Reversal 2025</t>
  </si>
  <si>
    <t>Accumulated Impairment - Impairment reversal 2024</t>
  </si>
  <si>
    <t>Accumulated Impairment - Impairment reversal 2025</t>
  </si>
  <si>
    <t>Accumulates Surplus - Offset - Below the line - 2023</t>
  </si>
  <si>
    <t>Accumulates Surplus - Depreciation Charges 2023</t>
  </si>
  <si>
    <r>
      <t xml:space="preserve">9.2 Asset revalues on 30 June 2022, sunsequently impaired to R3m on 2023/06/20. On 2024/06/20 the impairment was </t>
    </r>
    <r>
      <rPr>
        <b/>
        <u/>
        <sz val="11"/>
        <color theme="1"/>
        <rFont val="Aptos Narrow"/>
        <family val="2"/>
        <scheme val="minor"/>
      </rPr>
      <t>partially</t>
    </r>
    <r>
      <rPr>
        <sz val="11"/>
        <color theme="1"/>
        <rFont val="Aptos Narrow"/>
        <family val="2"/>
        <scheme val="minor"/>
      </rPr>
      <t xml:space="preserve"> reversed</t>
    </r>
  </si>
  <si>
    <t>10.1 Asset was disposed on 20 June 2024 but entries were not done</t>
  </si>
  <si>
    <t>Accumulated Depreciation - Roads - before 2024</t>
  </si>
  <si>
    <t>Accumulated Surplus - Loss on disposal 2024</t>
  </si>
  <si>
    <t>10.2 Asset was impaired on 20 June 2024 and disposed on 25 June 2024. no disposal entries were not done</t>
  </si>
  <si>
    <t>Accumulated Impairment - Roads - before 2024</t>
  </si>
  <si>
    <t>Accumulated Impairment - Roads - 2024</t>
  </si>
  <si>
    <t>Accumulated Impairment - Roads - 2025</t>
  </si>
  <si>
    <t>11.1 - Asset was revalued on 30 June 2023. The balances at 30 June 2023 = Revaluation reserv = (5,660,048.60), Cost = 12,164,247.00, Acc Dep = (6,020,788.83), RUL = 5534, EUL = 10957.5, Value = 6,143,458.17
Asset was disposed on 20 June 2024 but the entries were not done</t>
  </si>
  <si>
    <t>Revaluation reserve before 2024</t>
  </si>
  <si>
    <t>Revaluation reserve 2024</t>
  </si>
  <si>
    <t>Revaluation reserve 2025</t>
  </si>
  <si>
    <t>Accumulated Surplus - RR Depreciation Offset 2024</t>
  </si>
  <si>
    <t>Accumulated Surplus - RR Disposal 2024</t>
  </si>
  <si>
    <t>Accumulated Surplus - RR Depreciation Offset 2025</t>
  </si>
  <si>
    <t>11.2 - Asset was revalued on 30 June 2023. The balances at 30 June 2023 = Revaluation reserv = (5,660,048.60), Cost = 12,164,247.00, Acc Dep = (6,020,788.83), RUL = 5534, EUL = 10957.5, Value = 6,143,458.17
Asset was impaired on 20 June 2024. Asset was disposed on 25 June 2024 but the entries were not done</t>
  </si>
  <si>
    <t>Normal</t>
  </si>
  <si>
    <t>Cost increase due to incorrect t treatment of WIP, Retentions, VAT, etc. Cost increases from R3,046,098.51 to R3,807,623.14</t>
  </si>
  <si>
    <t>Cost decrease due to incorrect t treatment of WIP, Retentions, VAT, etc. Cost decreases from R3,046,098.51 to R2,284,573.88</t>
  </si>
  <si>
    <t>Residual Value</t>
  </si>
  <si>
    <t>Days in use at  30 June 2024</t>
  </si>
  <si>
    <t>Accumulated Depreciation 20 June 2024</t>
  </si>
  <si>
    <t>Accumulated Impairment</t>
  </si>
  <si>
    <t>Carrying Value</t>
  </si>
  <si>
    <t>Depreciation 2025</t>
  </si>
  <si>
    <t>Before revaluation</t>
  </si>
  <si>
    <t>Revaluation 30 June 2023</t>
  </si>
  <si>
    <t xml:space="preserve"> Asset was revalued on 30 June 2023. The balances at 30 June 2023 = Revaluation reserv = (5,660,048.60), Cost = 12,164,247.00, Acc Dep = (6,020,788.83), RUL = 5534, EUL = 10957.5, Value = 6,143,458.17
Change valuation to R7,500,500.00</t>
  </si>
  <si>
    <t>Asset was revalued on 30 June 2023. The balances at 30 June 2023 = Revaluation reserv = (5,660,048.60), Cost = 12,164,247.00, Acc Dep = (6,020,788.83), RUL = 5534, EUL = 10957.5, Value = 6,143,458.17
Change valuation to R5,500,500.00</t>
  </si>
  <si>
    <t>Accumulated depreciation</t>
  </si>
  <si>
    <t>Accumulated impairment losses</t>
  </si>
  <si>
    <t>Revaluation reserve</t>
  </si>
  <si>
    <t>Depreciation start date</t>
  </si>
  <si>
    <t>Day is use 30 June 2024</t>
  </si>
  <si>
    <t>Accumulated Depreciation 30 June 2024</t>
  </si>
  <si>
    <t>Depreciation offset 30 June 2024</t>
  </si>
  <si>
    <t>Depreciation offset 2025</t>
  </si>
  <si>
    <t>Asset at deemed cost, acquisition date captured incorrectly at 2024/06/20 instead of 2024/01/15</t>
  </si>
  <si>
    <t>Before</t>
  </si>
  <si>
    <t>Asset not recognised - Newly identified, Donated asset, etc - FV - take on date 20 June 2024, deemed cost R3,046,098.51, RUL at take on is 2950 days</t>
  </si>
  <si>
    <t>5.1 &amp; 5.2</t>
  </si>
  <si>
    <t>Residual value not captured - Should be R301,609.85</t>
  </si>
  <si>
    <t>Residual value captured as R500,100.00 instead of R304,610.00</t>
  </si>
  <si>
    <t>Impaired tp 1200000</t>
  </si>
  <si>
    <t>Impaired tp 1400000</t>
  </si>
  <si>
    <t>Impaired tp 1000000</t>
  </si>
  <si>
    <t>Day is use 20 June 2024</t>
  </si>
  <si>
    <t>Days in use 20 June to 30 June</t>
  </si>
  <si>
    <t>Impairment</t>
  </si>
  <si>
    <t>Depreciation 21 June to 30 June</t>
  </si>
  <si>
    <t>Before Impairment</t>
  </si>
  <si>
    <t>Impaired to R3m on 20 June 2024</t>
  </si>
  <si>
    <t>Depreciation offset 20 June 2024</t>
  </si>
  <si>
    <t>Depreciation offset  21 June to 30 June</t>
  </si>
  <si>
    <t>Impaired to R2m on 20 June 2024</t>
  </si>
  <si>
    <t>Impaired to</t>
  </si>
  <si>
    <t>Impaired to R4m on 20 June 2024</t>
  </si>
  <si>
    <t>Normal without impairment</t>
  </si>
  <si>
    <t>Impaired to 1200000</t>
  </si>
  <si>
    <t>Impairment reversed max</t>
  </si>
  <si>
    <t>Impairment reversed portion</t>
  </si>
  <si>
    <t>Day is use 20 June 2023</t>
  </si>
  <si>
    <t>Days in use 20 June to 30 June 2023</t>
  </si>
  <si>
    <t>Accumulated Depreciation 20 June 2023</t>
  </si>
  <si>
    <t>Impaired to R1200000</t>
  </si>
  <si>
    <t>Impairment reversal on</t>
  </si>
  <si>
    <t>Days in use to impairment reversal</t>
  </si>
  <si>
    <t>Days in use up to 30 June 2024</t>
  </si>
  <si>
    <t>Depreciation 2024 up to impairment reversal</t>
  </si>
  <si>
    <t>Depreciation 2024 up to year end</t>
  </si>
  <si>
    <t>Impairment reversal</t>
  </si>
  <si>
    <t>RUL at inpairment reversal</t>
  </si>
  <si>
    <t>Revaluation 30 June 2022 No impairment</t>
  </si>
  <si>
    <t>Impaired to R3m on 20 June 2024 Max reversal</t>
  </si>
  <si>
    <t>Impaired to R3m on 20 June 2024 Partial reversal</t>
  </si>
  <si>
    <t>9.1 Asset revalues on 30 June 2022, sunsequently impaired to R3m on 2023/06/20. On 2024/06/20 the impairment was reversed</t>
  </si>
  <si>
    <t>Depreciation offset 20 June 2023</t>
  </si>
  <si>
    <t>Depreciation 21 June to 30 June 2023</t>
  </si>
  <si>
    <t>Depreciation offset  21 June to 30 June 2023</t>
  </si>
  <si>
    <t>Depreciation 2024 up to impairment reversal date</t>
  </si>
  <si>
    <t>Depreciation offset 2024 up to impairment reversal date</t>
  </si>
  <si>
    <t>Depreciation 2024 up toyear end</t>
  </si>
  <si>
    <t>Depreciation offset 2024 up to year end</t>
  </si>
  <si>
    <t>Disposed</t>
  </si>
  <si>
    <t>Disposal date</t>
  </si>
  <si>
    <t>Disposal cost</t>
  </si>
  <si>
    <t>Disposal accumulated depreciation</t>
  </si>
  <si>
    <t>Impaired</t>
  </si>
  <si>
    <t>Days in use 20 June to 25 June</t>
  </si>
  <si>
    <t>Depreciation 21 June to 30 June/ Disposal date</t>
  </si>
  <si>
    <t>Disposal - Cost</t>
  </si>
  <si>
    <t>Disposal - Accumulated Depreciation</t>
  </si>
  <si>
    <t>Disposal - Accumulated Impairment</t>
  </si>
  <si>
    <t>Disposal Accumulated Depreciation</t>
  </si>
  <si>
    <t>Disposal Revaluation Reserve</t>
  </si>
  <si>
    <t>Disposed on 25 June 2024</t>
  </si>
  <si>
    <t>Depreciation 21 June to 30 June/ disposal date</t>
  </si>
  <si>
    <t>Depreciation offset  21 June to 30 June/ disposal date</t>
  </si>
  <si>
    <t>Disposal - Revaluation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</si>
</sst>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\ ;\(#,##0.00\)"/>
    <numFmt numFmtId="166" formatCode="_ * #,##0.00_ ;_ * \-#,##0.00_ ;_ * &quot;-&quot;??_ ;_ @_ "/>
    <numFmt numFmtId="167" formatCode="0.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Font="1"/>
    <xf numFmtId="164" fontId="0" fillId="4" borderId="0" xfId="1" applyFont="1" applyFill="1"/>
    <xf numFmtId="14" fontId="0" fillId="0" borderId="0" xfId="0" applyNumberFormat="1"/>
    <xf numFmtId="0" fontId="0" fillId="4" borderId="0" xfId="0" applyFill="1"/>
    <xf numFmtId="164" fontId="0" fillId="0" borderId="0" xfId="0" applyNumberFormat="1"/>
    <xf numFmtId="0" fontId="0" fillId="0" borderId="0" xfId="0" applyAlignment="1">
      <alignment wrapText="1"/>
    </xf>
    <xf numFmtId="164" fontId="0" fillId="4" borderId="0" xfId="0" applyNumberFormat="1" applyFill="1"/>
    <xf numFmtId="164" fontId="0" fillId="0" borderId="1" xfId="0" applyNumberFormat="1" applyBorder="1"/>
    <xf numFmtId="0" fontId="2" fillId="0" borderId="0" xfId="0" applyFont="1" applyAlignment="1">
      <alignment wrapText="1"/>
    </xf>
    <xf numFmtId="0" fontId="2" fillId="0" borderId="0" xfId="0" applyFont="1"/>
    <xf numFmtId="165" fontId="0" fillId="0" borderId="0" xfId="0" applyNumberForma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horizontal="right"/>
    </xf>
    <xf numFmtId="22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0" fontId="3" fillId="0" borderId="0" xfId="0" applyFont="1" applyAlignment="1">
      <alignment wrapText="1"/>
    </xf>
    <xf numFmtId="164" fontId="2" fillId="3" borderId="0" xfId="1" applyFont="1" applyFill="1" applyAlignment="1">
      <alignment wrapText="1"/>
    </xf>
    <xf numFmtId="0" fontId="0" fillId="0" borderId="2" xfId="0" applyBorder="1"/>
    <xf numFmtId="164" fontId="0" fillId="0" borderId="2" xfId="0" applyNumberFormat="1" applyBorder="1"/>
    <xf numFmtId="164" fontId="0" fillId="2" borderId="0" xfId="0" applyNumberFormat="1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wrapText="1"/>
    </xf>
    <xf numFmtId="0" fontId="2" fillId="3" borderId="0" xfId="1" applyNumberFormat="1" applyFont="1" applyFill="1" applyAlignment="1">
      <alignment wrapText="1"/>
    </xf>
    <xf numFmtId="164" fontId="0" fillId="2" borderId="2" xfId="0" applyNumberFormat="1" applyFill="1" applyBorder="1"/>
    <xf numFmtId="164" fontId="1" fillId="0" borderId="0" xfId="1" applyFont="1"/>
    <xf numFmtId="164" fontId="2" fillId="0" borderId="0" xfId="1" applyFont="1" applyFill="1"/>
    <xf numFmtId="14" fontId="0" fillId="2" borderId="0" xfId="0" applyNumberFormat="1" applyFill="1"/>
    <xf numFmtId="0" fontId="0" fillId="2" borderId="0" xfId="0" applyFill="1"/>
    <xf numFmtId="165" fontId="0" fillId="0" borderId="1" xfId="0" applyNumberFormat="1" applyBorder="1"/>
    <xf numFmtId="165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D394-054B-4B49-B963-D4E01ED9DF7A}">
  <dimension ref="A1:FH590"/>
  <sheetViews>
    <sheetView tabSelected="1" workbookViewId="0">
      <pane ySplit="1" topLeftCell="A563" activePane="bottomLeft" state="frozen"/>
      <selection pane="bottomLeft" activeCell="F581" sqref="F581"/>
    </sheetView>
  </sheetViews>
  <sheetFormatPr defaultRowHeight="14.45"/>
  <cols>
    <col min="1" max="1" width="64.42578125" bestFit="1" customWidth="1"/>
    <col min="2" max="5" width="18.7109375" customWidth="1"/>
    <col min="6" max="6" width="17.42578125" bestFit="1" customWidth="1"/>
    <col min="7" max="7" width="15" bestFit="1" customWidth="1"/>
    <col min="8" max="8" width="23.7109375" bestFit="1" customWidth="1"/>
    <col min="9" max="9" width="21" bestFit="1" customWidth="1"/>
    <col min="10" max="10" width="11" bestFit="1" customWidth="1"/>
    <col min="11" max="11" width="21" bestFit="1" customWidth="1"/>
    <col min="12" max="12" width="10.5703125" bestFit="1" customWidth="1"/>
    <col min="13" max="13" width="9.7109375" bestFit="1" customWidth="1"/>
    <col min="14" max="14" width="8.5703125" bestFit="1" customWidth="1"/>
    <col min="15" max="15" width="25.42578125" bestFit="1" customWidth="1"/>
    <col min="16" max="16" width="14.42578125" bestFit="1" customWidth="1"/>
    <col min="17" max="17" width="15.7109375" bestFit="1" customWidth="1"/>
    <col min="18" max="18" width="9.85546875" bestFit="1" customWidth="1"/>
    <col min="19" max="19" width="19.42578125" bestFit="1" customWidth="1"/>
    <col min="20" max="20" width="10.42578125" bestFit="1" customWidth="1"/>
    <col min="21" max="21" width="22.7109375" bestFit="1" customWidth="1"/>
    <col min="22" max="22" width="19.5703125" bestFit="1" customWidth="1"/>
    <col min="23" max="23" width="25.28515625" bestFit="1" customWidth="1"/>
    <col min="24" max="24" width="23.7109375" bestFit="1" customWidth="1"/>
    <col min="25" max="25" width="15.28515625" bestFit="1" customWidth="1"/>
    <col min="26" max="26" width="19.7109375" bestFit="1" customWidth="1"/>
    <col min="27" max="27" width="14.5703125" bestFit="1" customWidth="1"/>
    <col min="28" max="28" width="15.140625" bestFit="1" customWidth="1"/>
    <col min="29" max="29" width="27.7109375" bestFit="1" customWidth="1"/>
    <col min="30" max="30" width="25" bestFit="1" customWidth="1"/>
    <col min="31" max="31" width="13.42578125" bestFit="1" customWidth="1"/>
    <col min="32" max="32" width="10.85546875" bestFit="1" customWidth="1"/>
    <col min="33" max="33" width="12.7109375" bestFit="1" customWidth="1"/>
    <col min="34" max="34" width="20.42578125" bestFit="1" customWidth="1"/>
    <col min="35" max="35" width="11.7109375" bestFit="1" customWidth="1"/>
    <col min="36" max="36" width="14" bestFit="1" customWidth="1"/>
    <col min="37" max="37" width="14.85546875" bestFit="1" customWidth="1"/>
    <col min="38" max="38" width="15.28515625" bestFit="1" customWidth="1"/>
    <col min="39" max="39" width="14.140625" bestFit="1" customWidth="1"/>
    <col min="40" max="40" width="16.42578125" bestFit="1" customWidth="1"/>
    <col min="41" max="41" width="14.7109375" bestFit="1" customWidth="1"/>
    <col min="42" max="42" width="16.28515625" bestFit="1" customWidth="1"/>
    <col min="43" max="43" width="18.140625" bestFit="1" customWidth="1"/>
    <col min="44" max="44" width="22.7109375" bestFit="1" customWidth="1"/>
    <col min="45" max="45" width="13.28515625" bestFit="1" customWidth="1"/>
    <col min="46" max="46" width="13.7109375" bestFit="1" customWidth="1"/>
    <col min="47" max="47" width="16.5703125" bestFit="1" customWidth="1"/>
    <col min="48" max="48" width="8.28515625" bestFit="1" customWidth="1"/>
    <col min="49" max="49" width="25.42578125" bestFit="1" customWidth="1"/>
    <col min="50" max="50" width="29.28515625" bestFit="1" customWidth="1"/>
    <col min="51" max="51" width="24.28515625" bestFit="1" customWidth="1"/>
    <col min="52" max="52" width="27.28515625" bestFit="1" customWidth="1"/>
    <col min="53" max="53" width="17.5703125" bestFit="1" customWidth="1"/>
    <col min="54" max="54" width="22.28515625" bestFit="1" customWidth="1"/>
    <col min="55" max="55" width="23.7109375" bestFit="1" customWidth="1"/>
    <col min="56" max="56" width="22.5703125" bestFit="1" customWidth="1"/>
    <col min="57" max="57" width="23.7109375" bestFit="1" customWidth="1"/>
    <col min="58" max="58" width="26.140625" bestFit="1" customWidth="1"/>
    <col min="59" max="59" width="24" bestFit="1" customWidth="1"/>
    <col min="60" max="60" width="25.28515625" bestFit="1" customWidth="1"/>
    <col min="61" max="61" width="5" bestFit="1" customWidth="1"/>
    <col min="62" max="64" width="5.28515625" bestFit="1" customWidth="1"/>
    <col min="65" max="65" width="16.28515625" bestFit="1" customWidth="1"/>
    <col min="66" max="66" width="7.7109375" bestFit="1" customWidth="1"/>
    <col min="67" max="67" width="8.42578125" bestFit="1" customWidth="1"/>
    <col min="68" max="68" width="8" bestFit="1" customWidth="1"/>
    <col min="69" max="69" width="18.7109375" bestFit="1" customWidth="1"/>
    <col min="70" max="70" width="11.7109375" bestFit="1" customWidth="1"/>
    <col min="71" max="71" width="9.7109375" bestFit="1" customWidth="1"/>
    <col min="73" max="73" width="13.42578125" bestFit="1" customWidth="1"/>
    <col min="74" max="74" width="10.7109375" bestFit="1" customWidth="1"/>
    <col min="75" max="75" width="17.28515625" bestFit="1" customWidth="1"/>
    <col min="76" max="76" width="18.5703125" bestFit="1" customWidth="1"/>
    <col min="77" max="77" width="15.85546875" bestFit="1" customWidth="1"/>
    <col min="78" max="78" width="17.28515625" bestFit="1" customWidth="1"/>
    <col min="79" max="79" width="20.28515625" bestFit="1" customWidth="1"/>
    <col min="80" max="80" width="13.7109375" bestFit="1" customWidth="1"/>
    <col min="81" max="81" width="17.28515625" bestFit="1" customWidth="1"/>
    <col min="82" max="82" width="14.140625" bestFit="1" customWidth="1"/>
    <col min="83" max="83" width="22.7109375" bestFit="1" customWidth="1"/>
    <col min="84" max="84" width="19.7109375" bestFit="1" customWidth="1"/>
    <col min="85" max="85" width="4.28515625" bestFit="1" customWidth="1"/>
    <col min="86" max="86" width="22.85546875" bestFit="1" customWidth="1"/>
    <col min="87" max="87" width="17.42578125" bestFit="1" customWidth="1"/>
    <col min="88" max="88" width="27.5703125" bestFit="1" customWidth="1"/>
    <col min="89" max="89" width="10.42578125" bestFit="1" customWidth="1"/>
    <col min="90" max="90" width="10.7109375" bestFit="1" customWidth="1"/>
    <col min="91" max="91" width="17.42578125" bestFit="1" customWidth="1"/>
    <col min="92" max="92" width="5.28515625" bestFit="1" customWidth="1"/>
    <col min="93" max="93" width="6.28515625" bestFit="1" customWidth="1"/>
    <col min="94" max="94" width="11.42578125" bestFit="1" customWidth="1"/>
    <col min="95" max="95" width="12.28515625" bestFit="1" customWidth="1"/>
    <col min="96" max="96" width="6.7109375" bestFit="1" customWidth="1"/>
    <col min="97" max="97" width="16.7109375" bestFit="1" customWidth="1"/>
    <col min="98" max="98" width="5.42578125" bestFit="1" customWidth="1"/>
    <col min="99" max="99" width="7.42578125" bestFit="1" customWidth="1"/>
    <col min="100" max="100" width="8.7109375" bestFit="1" customWidth="1"/>
    <col min="101" max="101" width="19.42578125" bestFit="1" customWidth="1"/>
    <col min="102" max="102" width="19.7109375" bestFit="1" customWidth="1"/>
    <col min="103" max="103" width="8.7109375" bestFit="1" customWidth="1"/>
    <col min="104" max="104" width="14.5703125" bestFit="1" customWidth="1"/>
    <col min="105" max="105" width="16.28515625" bestFit="1" customWidth="1"/>
    <col min="106" max="106" width="17.28515625" bestFit="1" customWidth="1"/>
    <col min="107" max="107" width="38.5703125" bestFit="1" customWidth="1"/>
    <col min="108" max="108" width="44.7109375" bestFit="1" customWidth="1"/>
    <col min="109" max="109" width="30.28515625" bestFit="1" customWidth="1"/>
    <col min="110" max="110" width="38.28515625" bestFit="1" customWidth="1"/>
    <col min="111" max="111" width="43.85546875" bestFit="1" customWidth="1"/>
    <col min="112" max="112" width="30.42578125" bestFit="1" customWidth="1"/>
    <col min="113" max="113" width="27.85546875" bestFit="1" customWidth="1"/>
    <col min="114" max="114" width="18" bestFit="1" customWidth="1"/>
    <col min="115" max="115" width="37.85546875" bestFit="1" customWidth="1"/>
    <col min="116" max="116" width="30.7109375" bestFit="1" customWidth="1"/>
    <col min="117" max="117" width="31.28515625" bestFit="1" customWidth="1"/>
    <col min="118" max="118" width="18.7109375" customWidth="1"/>
    <col min="119" max="119" width="30.5703125" bestFit="1" customWidth="1"/>
    <col min="120" max="120" width="24.7109375" bestFit="1" customWidth="1"/>
    <col min="121" max="121" width="13.7109375" bestFit="1" customWidth="1"/>
    <col min="122" max="122" width="20.28515625" bestFit="1" customWidth="1"/>
    <col min="123" max="123" width="27.5703125" bestFit="1" customWidth="1"/>
    <col min="124" max="124" width="16.7109375" bestFit="1" customWidth="1"/>
    <col min="125" max="125" width="17.85546875" bestFit="1" customWidth="1"/>
    <col min="126" max="126" width="15.28515625" bestFit="1" customWidth="1"/>
    <col min="127" max="127" width="19.7109375" bestFit="1" customWidth="1"/>
    <col min="128" max="128" width="17.28515625" bestFit="1" customWidth="1"/>
    <col min="129" max="129" width="19.28515625" bestFit="1" customWidth="1"/>
    <col min="130" max="130" width="18.5703125" bestFit="1" customWidth="1"/>
    <col min="131" max="131" width="23.85546875" bestFit="1" customWidth="1"/>
    <col min="132" max="132" width="21.85546875" bestFit="1" customWidth="1"/>
    <col min="133" max="133" width="13.7109375" bestFit="1" customWidth="1"/>
    <col min="134" max="134" width="19.42578125" bestFit="1" customWidth="1"/>
    <col min="135" max="135" width="38.140625" bestFit="1" customWidth="1"/>
    <col min="136" max="136" width="45.28515625" bestFit="1" customWidth="1"/>
    <col min="137" max="137" width="35.140625" bestFit="1" customWidth="1"/>
    <col min="138" max="138" width="23" bestFit="1" customWidth="1"/>
    <col min="139" max="139" width="31.5703125" bestFit="1" customWidth="1"/>
    <col min="140" max="140" width="19" bestFit="1" customWidth="1"/>
    <col min="141" max="141" width="37.28515625" bestFit="1" customWidth="1"/>
    <col min="142" max="142" width="36.85546875" bestFit="1" customWidth="1"/>
    <col min="143" max="143" width="44.28515625" bestFit="1" customWidth="1"/>
    <col min="144" max="144" width="32" bestFit="1" customWidth="1"/>
    <col min="145" max="145" width="41.85546875" bestFit="1" customWidth="1"/>
    <col min="146" max="146" width="30.42578125" bestFit="1" customWidth="1"/>
    <col min="147" max="147" width="36.140625" bestFit="1" customWidth="1"/>
    <col min="148" max="148" width="15.28515625" bestFit="1" customWidth="1"/>
    <col min="149" max="149" width="17.85546875" bestFit="1" customWidth="1"/>
    <col min="150" max="150" width="19" bestFit="1" customWidth="1"/>
    <col min="151" max="151" width="36.7109375" bestFit="1" customWidth="1"/>
    <col min="152" max="152" width="48.5703125" bestFit="1" customWidth="1"/>
    <col min="153" max="153" width="12.28515625" bestFit="1" customWidth="1"/>
    <col min="154" max="154" width="5.7109375" bestFit="1" customWidth="1"/>
    <col min="155" max="155" width="5.85546875" bestFit="1" customWidth="1"/>
    <col min="156" max="164" width="9" bestFit="1" customWidth="1"/>
  </cols>
  <sheetData>
    <row r="1" spans="1:164" s="9" customFormat="1" ht="43.15">
      <c r="A1" s="9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16</v>
      </c>
      <c r="T1" s="25" t="s">
        <v>17</v>
      </c>
      <c r="U1" s="25" t="s">
        <v>18</v>
      </c>
      <c r="V1" s="25" t="s">
        <v>19</v>
      </c>
      <c r="W1" s="25" t="s">
        <v>20</v>
      </c>
      <c r="X1" s="25" t="s">
        <v>21</v>
      </c>
      <c r="Y1" s="25" t="s">
        <v>22</v>
      </c>
      <c r="Z1" s="25" t="s">
        <v>23</v>
      </c>
      <c r="AA1" s="25" t="s">
        <v>24</v>
      </c>
      <c r="AB1" s="25" t="s">
        <v>25</v>
      </c>
      <c r="AC1" s="25" t="s">
        <v>26</v>
      </c>
      <c r="AD1" s="25" t="s">
        <v>27</v>
      </c>
      <c r="AE1" s="25" t="s">
        <v>28</v>
      </c>
      <c r="AF1" s="25" t="s">
        <v>29</v>
      </c>
      <c r="AG1" s="25" t="s">
        <v>30</v>
      </c>
      <c r="AH1" s="25" t="s">
        <v>31</v>
      </c>
      <c r="AI1" s="25" t="s">
        <v>32</v>
      </c>
      <c r="AJ1" s="25" t="s">
        <v>33</v>
      </c>
      <c r="AK1" s="25" t="s">
        <v>34</v>
      </c>
      <c r="AL1" s="25" t="s">
        <v>35</v>
      </c>
      <c r="AM1" s="25" t="s">
        <v>36</v>
      </c>
      <c r="AN1" s="25" t="s">
        <v>37</v>
      </c>
      <c r="AO1" s="25" t="s">
        <v>38</v>
      </c>
      <c r="AP1" s="25" t="s">
        <v>39</v>
      </c>
      <c r="AQ1" s="25" t="s">
        <v>40</v>
      </c>
      <c r="AR1" s="25" t="s">
        <v>41</v>
      </c>
      <c r="AS1" s="25" t="s">
        <v>42</v>
      </c>
      <c r="AT1" s="25" t="s">
        <v>43</v>
      </c>
      <c r="AU1" s="25" t="s">
        <v>44</v>
      </c>
      <c r="AV1" s="25" t="s">
        <v>45</v>
      </c>
      <c r="AW1" s="25" t="s">
        <v>46</v>
      </c>
      <c r="AX1" s="25" t="s">
        <v>47</v>
      </c>
      <c r="AY1" s="25" t="s">
        <v>48</v>
      </c>
      <c r="AZ1" s="25" t="s">
        <v>49</v>
      </c>
      <c r="BA1" s="25" t="s">
        <v>50</v>
      </c>
      <c r="BB1" s="25" t="s">
        <v>51</v>
      </c>
      <c r="BC1" s="25" t="s">
        <v>52</v>
      </c>
      <c r="BD1" s="25" t="s">
        <v>53</v>
      </c>
      <c r="BE1" s="25" t="s">
        <v>54</v>
      </c>
      <c r="BF1" s="25" t="s">
        <v>55</v>
      </c>
      <c r="BG1" s="25" t="s">
        <v>56</v>
      </c>
      <c r="BH1" s="25" t="s">
        <v>57</v>
      </c>
      <c r="BI1" s="25" t="s">
        <v>58</v>
      </c>
      <c r="BJ1" s="25" t="s">
        <v>59</v>
      </c>
      <c r="BK1" s="25" t="s">
        <v>60</v>
      </c>
      <c r="BL1" s="25" t="s">
        <v>61</v>
      </c>
      <c r="BM1" s="25" t="s">
        <v>62</v>
      </c>
      <c r="BN1" s="25" t="s">
        <v>63</v>
      </c>
      <c r="BO1" s="25" t="s">
        <v>64</v>
      </c>
      <c r="BP1" s="25" t="s">
        <v>65</v>
      </c>
      <c r="BQ1" s="25" t="s">
        <v>66</v>
      </c>
      <c r="BR1" s="25" t="s">
        <v>67</v>
      </c>
      <c r="BS1" s="25" t="s">
        <v>68</v>
      </c>
      <c r="BT1" s="25" t="s">
        <v>69</v>
      </c>
      <c r="BU1" s="25" t="s">
        <v>70</v>
      </c>
      <c r="BV1" s="25" t="s">
        <v>71</v>
      </c>
      <c r="BW1" s="25" t="s">
        <v>72</v>
      </c>
      <c r="BX1" s="25" t="s">
        <v>73</v>
      </c>
      <c r="BY1" s="25" t="s">
        <v>74</v>
      </c>
      <c r="BZ1" s="25" t="s">
        <v>75</v>
      </c>
      <c r="CA1" s="25" t="s">
        <v>76</v>
      </c>
      <c r="CB1" s="25" t="s">
        <v>77</v>
      </c>
      <c r="CC1" s="25" t="s">
        <v>78</v>
      </c>
      <c r="CD1" s="25" t="s">
        <v>79</v>
      </c>
      <c r="CE1" s="25" t="s">
        <v>80</v>
      </c>
      <c r="CF1" s="25" t="s">
        <v>81</v>
      </c>
      <c r="CG1" s="25" t="s">
        <v>82</v>
      </c>
      <c r="CH1" s="25" t="s">
        <v>83</v>
      </c>
      <c r="CI1" s="25" t="s">
        <v>84</v>
      </c>
      <c r="CJ1" s="25" t="s">
        <v>85</v>
      </c>
      <c r="CK1" s="25" t="s">
        <v>86</v>
      </c>
      <c r="CL1" s="25" t="s">
        <v>87</v>
      </c>
      <c r="CM1" s="25" t="s">
        <v>88</v>
      </c>
      <c r="CN1" s="25" t="s">
        <v>89</v>
      </c>
      <c r="CO1" s="25" t="s">
        <v>90</v>
      </c>
      <c r="CP1" s="25" t="s">
        <v>91</v>
      </c>
      <c r="CQ1" s="25" t="s">
        <v>92</v>
      </c>
      <c r="CR1" s="25" t="s">
        <v>93</v>
      </c>
      <c r="CS1" s="25" t="s">
        <v>94</v>
      </c>
      <c r="CT1" s="25" t="s">
        <v>95</v>
      </c>
      <c r="CU1" s="25" t="s">
        <v>96</v>
      </c>
      <c r="CV1" s="25" t="s">
        <v>97</v>
      </c>
      <c r="CW1" s="25" t="s">
        <v>98</v>
      </c>
      <c r="CX1" s="25" t="s">
        <v>99</v>
      </c>
      <c r="CY1" s="25" t="s">
        <v>100</v>
      </c>
      <c r="CZ1" s="19" t="s">
        <v>101</v>
      </c>
      <c r="DA1" s="19" t="s">
        <v>102</v>
      </c>
      <c r="DB1" s="19" t="s">
        <v>103</v>
      </c>
      <c r="DC1" s="19" t="s">
        <v>104</v>
      </c>
      <c r="DD1" s="19" t="s">
        <v>105</v>
      </c>
      <c r="DE1" s="19" t="s">
        <v>106</v>
      </c>
      <c r="DF1" s="19" t="s">
        <v>107</v>
      </c>
      <c r="DG1" s="19" t="s">
        <v>108</v>
      </c>
      <c r="DH1" s="19" t="s">
        <v>109</v>
      </c>
      <c r="DI1" s="19" t="s">
        <v>110</v>
      </c>
      <c r="DJ1" s="19" t="s">
        <v>111</v>
      </c>
      <c r="DK1" s="19" t="s">
        <v>112</v>
      </c>
      <c r="DL1" s="19" t="s">
        <v>113</v>
      </c>
      <c r="DM1" s="19" t="s">
        <v>114</v>
      </c>
      <c r="DN1" s="26" t="s">
        <v>115</v>
      </c>
      <c r="DO1" s="19" t="s">
        <v>116</v>
      </c>
      <c r="DP1" s="19" t="s">
        <v>117</v>
      </c>
      <c r="DQ1" s="19" t="s">
        <v>118</v>
      </c>
      <c r="DR1" s="19" t="s">
        <v>119</v>
      </c>
      <c r="DS1" s="19" t="s">
        <v>120</v>
      </c>
      <c r="DT1" s="19" t="s">
        <v>121</v>
      </c>
      <c r="DU1" s="19" t="s">
        <v>122</v>
      </c>
      <c r="DV1" s="19" t="s">
        <v>123</v>
      </c>
      <c r="DW1" s="19" t="s">
        <v>124</v>
      </c>
      <c r="DX1" s="19" t="s">
        <v>125</v>
      </c>
      <c r="DY1" s="19" t="s">
        <v>126</v>
      </c>
      <c r="DZ1" s="19" t="s">
        <v>127</v>
      </c>
      <c r="EA1" s="19" t="s">
        <v>128</v>
      </c>
      <c r="EB1" s="19" t="s">
        <v>129</v>
      </c>
      <c r="EC1" s="19" t="s">
        <v>130</v>
      </c>
      <c r="ED1" s="19" t="s">
        <v>131</v>
      </c>
      <c r="EE1" s="19" t="s">
        <v>132</v>
      </c>
      <c r="EF1" s="19" t="s">
        <v>133</v>
      </c>
      <c r="EG1" s="19" t="s">
        <v>134</v>
      </c>
      <c r="EH1" s="19" t="s">
        <v>135</v>
      </c>
      <c r="EI1" s="19" t="s">
        <v>136</v>
      </c>
      <c r="EJ1" s="19" t="s">
        <v>137</v>
      </c>
      <c r="EK1" s="19" t="s">
        <v>138</v>
      </c>
      <c r="EL1" s="19" t="s">
        <v>139</v>
      </c>
      <c r="EM1" s="19" t="s">
        <v>140</v>
      </c>
      <c r="EN1" s="19" t="s">
        <v>141</v>
      </c>
      <c r="EO1" s="19" t="s">
        <v>142</v>
      </c>
      <c r="EP1" s="19" t="s">
        <v>143</v>
      </c>
      <c r="EQ1" s="19" t="s">
        <v>144</v>
      </c>
      <c r="ER1" s="19" t="s">
        <v>145</v>
      </c>
      <c r="ES1" s="19" t="s">
        <v>146</v>
      </c>
      <c r="ET1" s="19" t="s">
        <v>147</v>
      </c>
      <c r="EU1" s="25" t="s">
        <v>148</v>
      </c>
      <c r="EV1" s="25" t="s">
        <v>149</v>
      </c>
      <c r="EW1" s="25" t="s">
        <v>150</v>
      </c>
      <c r="EX1" s="25" t="s">
        <v>151</v>
      </c>
      <c r="EY1" s="25" t="s">
        <v>152</v>
      </c>
      <c r="EZ1" s="25" t="s">
        <v>153</v>
      </c>
      <c r="FA1" s="25" t="s">
        <v>154</v>
      </c>
      <c r="FB1" s="25" t="s">
        <v>155</v>
      </c>
      <c r="FC1" s="25" t="s">
        <v>156</v>
      </c>
      <c r="FD1" s="25" t="s">
        <v>157</v>
      </c>
      <c r="FE1" s="25" t="s">
        <v>158</v>
      </c>
      <c r="FF1" s="25" t="s">
        <v>159</v>
      </c>
      <c r="FG1" s="25" t="s">
        <v>160</v>
      </c>
      <c r="FH1" s="25" t="s">
        <v>161</v>
      </c>
    </row>
    <row r="2" spans="1:164" s="10" customFormat="1"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</row>
    <row r="3" spans="1:164" s="10" customFormat="1"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</row>
    <row r="4" spans="1:164" ht="28.9">
      <c r="A4" s="6" t="s">
        <v>162</v>
      </c>
      <c r="B4" s="6"/>
      <c r="C4" s="6" t="s">
        <v>163</v>
      </c>
      <c r="D4" t="s">
        <v>164</v>
      </c>
      <c r="E4">
        <v>0</v>
      </c>
      <c r="F4">
        <v>10767</v>
      </c>
      <c r="G4" t="s">
        <v>165</v>
      </c>
      <c r="H4" t="s">
        <v>166</v>
      </c>
      <c r="I4" t="s">
        <v>167</v>
      </c>
      <c r="K4" t="s">
        <v>167</v>
      </c>
      <c r="O4" t="s">
        <v>168</v>
      </c>
      <c r="P4" t="s">
        <v>169</v>
      </c>
      <c r="Q4" t="s">
        <v>170</v>
      </c>
      <c r="R4" t="s">
        <v>167</v>
      </c>
      <c r="S4" t="s">
        <v>171</v>
      </c>
      <c r="U4" t="s">
        <v>167</v>
      </c>
      <c r="V4" t="s">
        <v>167</v>
      </c>
      <c r="W4" t="s">
        <v>172</v>
      </c>
      <c r="X4" t="s">
        <v>173</v>
      </c>
      <c r="Y4" t="s">
        <v>174</v>
      </c>
      <c r="Z4" t="s">
        <v>170</v>
      </c>
      <c r="AA4" t="s">
        <v>175</v>
      </c>
      <c r="AB4" t="s">
        <v>176</v>
      </c>
      <c r="AC4" t="s">
        <v>177</v>
      </c>
      <c r="AD4" t="s">
        <v>178</v>
      </c>
      <c r="AE4" t="s">
        <v>179</v>
      </c>
      <c r="AF4" s="3">
        <v>45306</v>
      </c>
      <c r="AG4" s="3">
        <v>45306</v>
      </c>
      <c r="AH4" s="3">
        <v>45306</v>
      </c>
      <c r="AL4" s="3">
        <v>45306</v>
      </c>
      <c r="AM4" s="3">
        <v>45473</v>
      </c>
      <c r="AN4" t="s">
        <v>180</v>
      </c>
      <c r="AP4" s="3">
        <v>45473</v>
      </c>
      <c r="AS4" t="s">
        <v>181</v>
      </c>
      <c r="AT4" t="s">
        <v>182</v>
      </c>
      <c r="AV4" t="s">
        <v>182</v>
      </c>
      <c r="AW4" s="5">
        <v>3046098.51</v>
      </c>
      <c r="AX4" s="7">
        <f>ER4</f>
        <v>2601284.8199999998</v>
      </c>
      <c r="AY4">
        <v>0</v>
      </c>
      <c r="AZ4">
        <v>0</v>
      </c>
      <c r="BA4" t="s">
        <v>183</v>
      </c>
      <c r="BB4">
        <v>10</v>
      </c>
      <c r="BC4">
        <v>120</v>
      </c>
      <c r="BD4">
        <v>3650</v>
      </c>
      <c r="BE4" s="4">
        <f>BG4/365</f>
        <v>8.5397260273972595</v>
      </c>
      <c r="BF4" s="4">
        <f>BE4*12</f>
        <v>102.47671232876712</v>
      </c>
      <c r="BG4" s="4">
        <f>'1'!$B$28</f>
        <v>3117</v>
      </c>
      <c r="BI4" t="s">
        <v>184</v>
      </c>
      <c r="BN4">
        <v>1</v>
      </c>
      <c r="BO4">
        <v>0</v>
      </c>
      <c r="BP4">
        <v>0</v>
      </c>
      <c r="BY4" t="s">
        <v>185</v>
      </c>
      <c r="BZ4" t="s">
        <v>186</v>
      </c>
      <c r="CA4" t="s">
        <v>187</v>
      </c>
      <c r="CB4" t="s">
        <v>188</v>
      </c>
      <c r="CC4" t="s">
        <v>189</v>
      </c>
      <c r="CD4" t="s">
        <v>190</v>
      </c>
      <c r="CE4" t="s">
        <v>191</v>
      </c>
      <c r="CF4" t="s">
        <v>192</v>
      </c>
      <c r="CG4" t="s">
        <v>193</v>
      </c>
      <c r="CH4" t="s">
        <v>194</v>
      </c>
      <c r="CI4" t="s">
        <v>195</v>
      </c>
      <c r="CJ4" t="s">
        <v>196</v>
      </c>
      <c r="CK4" t="s">
        <v>197</v>
      </c>
      <c r="CN4" t="s">
        <v>198</v>
      </c>
      <c r="CU4">
        <v>-32.188583870550602</v>
      </c>
      <c r="CV4">
        <v>28.055331967751801</v>
      </c>
      <c r="CW4" s="1">
        <f>DS4</f>
        <v>3046098.51</v>
      </c>
      <c r="CX4">
        <v>0</v>
      </c>
      <c r="CZ4" s="1"/>
      <c r="DA4" s="1">
        <v>1</v>
      </c>
      <c r="DB4" s="1">
        <v>3036924.77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 t="s">
        <v>187</v>
      </c>
      <c r="DR4" s="1">
        <f>'1'!$B$5</f>
        <v>3046098.51</v>
      </c>
      <c r="DS4" s="1">
        <f>'1'!$B$5</f>
        <v>3046098.51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f>DS4+DT4+DV4-DW4+DX4-DY4+DZ4+EA4+EB4</f>
        <v>3046098.51</v>
      </c>
      <c r="EE4" s="1">
        <f>'1'!$B$15</f>
        <v>140203.94</v>
      </c>
      <c r="EF4" s="1">
        <f>'1'!$B$15</f>
        <v>140203.94</v>
      </c>
      <c r="EG4" s="28">
        <f>'1'!$B$21</f>
        <v>304609.75</v>
      </c>
      <c r="EH4" s="1">
        <v>0</v>
      </c>
      <c r="EI4" s="1">
        <v>0</v>
      </c>
      <c r="EJ4" s="1">
        <v>0</v>
      </c>
      <c r="EK4" s="1">
        <f>EF4+EG4+EH4-EI4-EJ4</f>
        <v>444813.69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f>EM4+EN4-EO4-EP4</f>
        <v>0</v>
      </c>
      <c r="ER4" s="1">
        <f>ED4-EK4-EQ4</f>
        <v>2601284.8199999998</v>
      </c>
      <c r="ES4" s="1">
        <v>0</v>
      </c>
      <c r="ET4" s="1">
        <v>0</v>
      </c>
      <c r="EZ4" t="s">
        <v>170</v>
      </c>
      <c r="FA4" t="s">
        <v>199</v>
      </c>
    </row>
    <row r="5" spans="1:164" ht="28.9">
      <c r="A5" s="6" t="s">
        <v>162</v>
      </c>
      <c r="B5" s="6"/>
      <c r="C5" s="6" t="s">
        <v>200</v>
      </c>
      <c r="D5" t="s">
        <v>164</v>
      </c>
      <c r="E5">
        <v>0</v>
      </c>
      <c r="F5">
        <v>10767</v>
      </c>
      <c r="G5" t="s">
        <v>165</v>
      </c>
      <c r="H5" t="s">
        <v>166</v>
      </c>
      <c r="I5" t="s">
        <v>167</v>
      </c>
      <c r="K5" t="s">
        <v>167</v>
      </c>
      <c r="O5" t="s">
        <v>168</v>
      </c>
      <c r="P5" t="s">
        <v>169</v>
      </c>
      <c r="Q5" t="s">
        <v>170</v>
      </c>
      <c r="R5" t="s">
        <v>167</v>
      </c>
      <c r="S5" t="s">
        <v>171</v>
      </c>
      <c r="U5" t="s">
        <v>167</v>
      </c>
      <c r="V5" t="s">
        <v>167</v>
      </c>
      <c r="W5" t="s">
        <v>172</v>
      </c>
      <c r="X5" t="s">
        <v>173</v>
      </c>
      <c r="Y5" t="s">
        <v>174</v>
      </c>
      <c r="Z5" t="s">
        <v>170</v>
      </c>
      <c r="AA5" t="s">
        <v>175</v>
      </c>
      <c r="AB5" t="s">
        <v>176</v>
      </c>
      <c r="AC5" t="s">
        <v>177</v>
      </c>
      <c r="AD5" t="s">
        <v>178</v>
      </c>
      <c r="AE5" t="s">
        <v>179</v>
      </c>
      <c r="AF5" s="3">
        <v>45306</v>
      </c>
      <c r="AG5" s="3">
        <v>45306</v>
      </c>
      <c r="AH5" s="3">
        <v>45306</v>
      </c>
      <c r="AL5" s="3">
        <v>45306</v>
      </c>
      <c r="AM5" s="3">
        <v>45473</v>
      </c>
      <c r="AN5" t="s">
        <v>180</v>
      </c>
      <c r="AP5" s="3">
        <v>45473</v>
      </c>
      <c r="AS5" t="s">
        <v>181</v>
      </c>
      <c r="AT5" t="s">
        <v>182</v>
      </c>
      <c r="AV5" t="s">
        <v>182</v>
      </c>
      <c r="AW5" s="5">
        <v>3807623.14</v>
      </c>
      <c r="AX5" s="7">
        <f>ER5</f>
        <v>3251605.99</v>
      </c>
      <c r="AY5">
        <v>0</v>
      </c>
      <c r="AZ5">
        <v>0</v>
      </c>
      <c r="BA5" t="s">
        <v>183</v>
      </c>
      <c r="BB5">
        <v>10</v>
      </c>
      <c r="BC5">
        <v>120</v>
      </c>
      <c r="BD5">
        <v>3650</v>
      </c>
      <c r="BE5" s="4">
        <f>BG5/365</f>
        <v>8.5397260273972595</v>
      </c>
      <c r="BF5" s="4">
        <f>BE5*12</f>
        <v>102.47671232876712</v>
      </c>
      <c r="BG5" s="4">
        <f>'1'!$C$28</f>
        <v>3117</v>
      </c>
      <c r="BI5" t="s">
        <v>184</v>
      </c>
      <c r="BN5">
        <v>1</v>
      </c>
      <c r="BO5">
        <v>0</v>
      </c>
      <c r="BP5">
        <v>0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190</v>
      </c>
      <c r="CE5" t="s">
        <v>191</v>
      </c>
      <c r="CF5" t="s">
        <v>192</v>
      </c>
      <c r="CG5" t="s">
        <v>193</v>
      </c>
      <c r="CH5" t="s">
        <v>194</v>
      </c>
      <c r="CI5" t="s">
        <v>195</v>
      </c>
      <c r="CJ5" t="s">
        <v>196</v>
      </c>
      <c r="CK5" t="s">
        <v>197</v>
      </c>
      <c r="CN5" t="s">
        <v>198</v>
      </c>
      <c r="CU5">
        <v>-32.188583870550602</v>
      </c>
      <c r="CV5">
        <v>28.055331967751801</v>
      </c>
      <c r="CW5" s="1">
        <f>DS5</f>
        <v>3807623.14</v>
      </c>
      <c r="CX5">
        <v>0</v>
      </c>
      <c r="CZ5" s="1"/>
      <c r="DA5" s="1">
        <v>1</v>
      </c>
      <c r="DB5" s="1">
        <v>3036924.77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 t="s">
        <v>187</v>
      </c>
      <c r="DR5" s="1">
        <f>'1'!$C$5</f>
        <v>3807623.14</v>
      </c>
      <c r="DS5" s="1">
        <f>'1'!$C$5</f>
        <v>3807623.14</v>
      </c>
      <c r="DT5" s="1">
        <v>0</v>
      </c>
      <c r="DU5" s="1">
        <v>1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f>DS5+DT5+DV5-DW5+DX5-DY5+DZ5+EA5+EB5</f>
        <v>3807623.14</v>
      </c>
      <c r="EE5" s="1">
        <f>'1'!$C$15</f>
        <v>175254.94</v>
      </c>
      <c r="EF5" s="1">
        <f>'1'!$C$15</f>
        <v>175254.94</v>
      </c>
      <c r="EG5" s="28">
        <f>'1'!$C$21</f>
        <v>380762.21</v>
      </c>
      <c r="EH5" s="1">
        <v>0</v>
      </c>
      <c r="EI5" s="1">
        <v>0</v>
      </c>
      <c r="EJ5" s="1">
        <v>0</v>
      </c>
      <c r="EK5" s="1">
        <f>EF5+EG5+EH5-EI5-EJ5</f>
        <v>556017.15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f>EM5+EN5-EO5-EP5</f>
        <v>0</v>
      </c>
      <c r="ER5" s="1">
        <f>ED5-EK5-EQ5</f>
        <v>3251605.99</v>
      </c>
      <c r="ES5" s="1">
        <v>0</v>
      </c>
      <c r="ET5" s="1">
        <v>0</v>
      </c>
      <c r="EZ5" t="s">
        <v>170</v>
      </c>
      <c r="FA5" t="s">
        <v>199</v>
      </c>
    </row>
    <row r="6" spans="1:164" ht="29.45" thickBot="1">
      <c r="A6" s="6" t="s">
        <v>162</v>
      </c>
      <c r="B6" s="6"/>
      <c r="C6" s="1" t="s">
        <v>201</v>
      </c>
      <c r="CZ6" s="1"/>
      <c r="DS6" s="8">
        <f>DS4-DS5</f>
        <v>-761524.63000000035</v>
      </c>
      <c r="ED6" s="8">
        <f>ED4-ED5</f>
        <v>-761524.63000000035</v>
      </c>
      <c r="EE6" s="8">
        <f t="shared" ref="EE6:EF6" si="0">EE4-EE5</f>
        <v>-35051</v>
      </c>
      <c r="EF6" s="8">
        <f t="shared" si="0"/>
        <v>-35051</v>
      </c>
      <c r="EG6" s="8">
        <f>EG4-EG5</f>
        <v>-76152.460000000021</v>
      </c>
      <c r="EH6" s="8">
        <f t="shared" ref="EH6:EK6" si="1">EH4-EH5</f>
        <v>0</v>
      </c>
      <c r="EI6" s="8">
        <f t="shared" si="1"/>
        <v>0</v>
      </c>
      <c r="EJ6" s="8">
        <f t="shared" si="1"/>
        <v>0</v>
      </c>
      <c r="EK6" s="8">
        <f t="shared" si="1"/>
        <v>-111203.46000000002</v>
      </c>
      <c r="ER6" s="8">
        <f>ER4-ER5</f>
        <v>-650321.17000000039</v>
      </c>
    </row>
    <row r="7" spans="1:164" ht="15" thickTop="1">
      <c r="A7" s="5"/>
      <c r="B7" s="5"/>
      <c r="C7" s="5"/>
    </row>
    <row r="8" spans="1:164">
      <c r="A8" s="9" t="s">
        <v>202</v>
      </c>
      <c r="B8" s="9"/>
      <c r="C8" s="9" t="s">
        <v>203</v>
      </c>
      <c r="D8" s="10" t="s">
        <v>204</v>
      </c>
      <c r="E8" s="10" t="s">
        <v>205</v>
      </c>
    </row>
    <row r="9" spans="1:164">
      <c r="A9" s="6" t="s">
        <v>206</v>
      </c>
      <c r="B9" s="9"/>
      <c r="C9" s="9"/>
      <c r="D9" s="10"/>
      <c r="E9" s="10"/>
    </row>
    <row r="10" spans="1:164">
      <c r="A10" s="6" t="s">
        <v>207</v>
      </c>
      <c r="B10" s="6"/>
      <c r="C10" s="13">
        <f>DS4</f>
        <v>3046098.51</v>
      </c>
      <c r="D10" s="13">
        <f>DS5</f>
        <v>3807623.14</v>
      </c>
      <c r="E10" s="13">
        <f>D10-C10</f>
        <v>761524.63000000035</v>
      </c>
      <c r="G10" s="5"/>
    </row>
    <row r="11" spans="1:164">
      <c r="A11" s="6" t="s">
        <v>208</v>
      </c>
      <c r="B11" s="6"/>
      <c r="C11" s="13"/>
      <c r="D11" s="13"/>
      <c r="E11" s="13"/>
    </row>
    <row r="12" spans="1:164">
      <c r="A12" s="6" t="s">
        <v>209</v>
      </c>
      <c r="B12" s="6"/>
      <c r="C12" s="13"/>
      <c r="D12" s="13"/>
      <c r="E12" s="13">
        <f>-E10</f>
        <v>-761524.63000000035</v>
      </c>
    </row>
    <row r="13" spans="1:164">
      <c r="A13" s="6" t="s">
        <v>210</v>
      </c>
      <c r="B13" s="6"/>
      <c r="C13" s="13"/>
      <c r="D13" s="13"/>
      <c r="E13" s="13"/>
    </row>
    <row r="14" spans="1:164">
      <c r="A14" s="6" t="s">
        <v>211</v>
      </c>
      <c r="B14" s="6"/>
      <c r="C14" s="13"/>
      <c r="D14" s="13"/>
      <c r="E14" s="13"/>
    </row>
    <row r="15" spans="1:164">
      <c r="A15" s="6" t="s">
        <v>212</v>
      </c>
      <c r="B15" s="6"/>
      <c r="C15" s="13">
        <f>'1'!$B$11</f>
        <v>140203.94</v>
      </c>
      <c r="D15" s="13">
        <f>'1'!$C$11</f>
        <v>175254.94</v>
      </c>
      <c r="E15" s="13">
        <f>C15-D15</f>
        <v>-35051</v>
      </c>
    </row>
    <row r="16" spans="1:164">
      <c r="A16" s="6" t="s">
        <v>213</v>
      </c>
      <c r="B16" s="6"/>
      <c r="C16" s="13">
        <f>'1'!$B$21</f>
        <v>304609.75</v>
      </c>
      <c r="D16" s="13">
        <f>'1'!$C$21</f>
        <v>380762.21</v>
      </c>
      <c r="E16" s="13">
        <f>C16-D16</f>
        <v>-76152.460000000021</v>
      </c>
    </row>
    <row r="17" spans="1:157">
      <c r="A17" s="6" t="s">
        <v>214</v>
      </c>
      <c r="B17" s="6"/>
      <c r="C17" s="13">
        <f>C15</f>
        <v>140203.94</v>
      </c>
      <c r="D17" s="13">
        <f>D15</f>
        <v>175254.94</v>
      </c>
      <c r="E17" s="13">
        <f>D17-C17</f>
        <v>35051</v>
      </c>
    </row>
    <row r="18" spans="1:157">
      <c r="A18" s="6" t="s">
        <v>215</v>
      </c>
      <c r="B18" s="6"/>
      <c r="C18" s="13">
        <f>C16</f>
        <v>304609.75</v>
      </c>
      <c r="D18" s="13">
        <f>D16</f>
        <v>380762.21</v>
      </c>
      <c r="E18" s="13">
        <f>D18-C18</f>
        <v>76152.460000000021</v>
      </c>
    </row>
    <row r="21" spans="1:157" ht="28.9">
      <c r="A21" s="6" t="s">
        <v>216</v>
      </c>
      <c r="B21" s="6"/>
      <c r="C21" s="6" t="s">
        <v>163</v>
      </c>
      <c r="D21" t="s">
        <v>164</v>
      </c>
      <c r="E21">
        <v>0</v>
      </c>
      <c r="F21">
        <v>10767</v>
      </c>
      <c r="G21" t="s">
        <v>165</v>
      </c>
      <c r="H21" t="s">
        <v>166</v>
      </c>
      <c r="I21" t="s">
        <v>167</v>
      </c>
      <c r="K21" t="s">
        <v>167</v>
      </c>
      <c r="O21" t="s">
        <v>168</v>
      </c>
      <c r="P21" t="s">
        <v>169</v>
      </c>
      <c r="Q21" t="s">
        <v>170</v>
      </c>
      <c r="R21" t="s">
        <v>167</v>
      </c>
      <c r="S21" t="s">
        <v>171</v>
      </c>
      <c r="U21" t="s">
        <v>167</v>
      </c>
      <c r="V21" t="s">
        <v>167</v>
      </c>
      <c r="W21" t="s">
        <v>172</v>
      </c>
      <c r="X21" t="s">
        <v>173</v>
      </c>
      <c r="Y21" t="s">
        <v>174</v>
      </c>
      <c r="Z21" t="s">
        <v>170</v>
      </c>
      <c r="AA21" t="s">
        <v>175</v>
      </c>
      <c r="AB21" t="s">
        <v>176</v>
      </c>
      <c r="AC21" t="s">
        <v>177</v>
      </c>
      <c r="AD21" t="s">
        <v>178</v>
      </c>
      <c r="AE21" t="s">
        <v>179</v>
      </c>
      <c r="AF21" s="3">
        <v>45306</v>
      </c>
      <c r="AG21" s="3">
        <v>45306</v>
      </c>
      <c r="AH21" s="3">
        <v>45306</v>
      </c>
      <c r="AL21" s="3">
        <v>45306</v>
      </c>
      <c r="AM21" s="3">
        <v>45473</v>
      </c>
      <c r="AN21" t="s">
        <v>180</v>
      </c>
      <c r="AP21" s="3">
        <v>45473</v>
      </c>
      <c r="AS21" t="s">
        <v>181</v>
      </c>
      <c r="AT21" t="s">
        <v>182</v>
      </c>
      <c r="AV21" t="s">
        <v>182</v>
      </c>
      <c r="AW21" s="5">
        <v>3046098.51</v>
      </c>
      <c r="AX21" s="7">
        <f>ER21</f>
        <v>2601284.8199999998</v>
      </c>
      <c r="AY21">
        <v>0</v>
      </c>
      <c r="AZ21">
        <v>0</v>
      </c>
      <c r="BA21" t="s">
        <v>183</v>
      </c>
      <c r="BB21">
        <v>10</v>
      </c>
      <c r="BC21">
        <v>120</v>
      </c>
      <c r="BD21">
        <v>3650</v>
      </c>
      <c r="BE21" s="4">
        <f>BG21/365</f>
        <v>8.5397260273972595</v>
      </c>
      <c r="BF21" s="4">
        <f>BE21*12</f>
        <v>102.47671232876712</v>
      </c>
      <c r="BG21" s="4">
        <f>'1'!$B$28</f>
        <v>3117</v>
      </c>
      <c r="BI21" t="s">
        <v>184</v>
      </c>
      <c r="BN21">
        <v>1</v>
      </c>
      <c r="BO21">
        <v>0</v>
      </c>
      <c r="BP21">
        <v>0</v>
      </c>
      <c r="BY21" t="s">
        <v>185</v>
      </c>
      <c r="BZ21" t="s">
        <v>186</v>
      </c>
      <c r="CA21" t="s">
        <v>187</v>
      </c>
      <c r="CB21" t="s">
        <v>188</v>
      </c>
      <c r="CC21" t="s">
        <v>189</v>
      </c>
      <c r="CD21" t="s">
        <v>190</v>
      </c>
      <c r="CE21" t="s">
        <v>191</v>
      </c>
      <c r="CF21" t="s">
        <v>192</v>
      </c>
      <c r="CG21" t="s">
        <v>193</v>
      </c>
      <c r="CH21" t="s">
        <v>194</v>
      </c>
      <c r="CI21" t="s">
        <v>195</v>
      </c>
      <c r="CJ21" t="s">
        <v>196</v>
      </c>
      <c r="CK21" t="s">
        <v>197</v>
      </c>
      <c r="CN21" t="s">
        <v>198</v>
      </c>
      <c r="CU21">
        <v>-32.188583870550602</v>
      </c>
      <c r="CV21">
        <v>28.055331967751801</v>
      </c>
      <c r="CW21" s="1">
        <f>DS21</f>
        <v>3046098.51</v>
      </c>
      <c r="CX21">
        <v>0</v>
      </c>
      <c r="CZ21" s="1"/>
      <c r="DA21" s="1">
        <v>1</v>
      </c>
      <c r="DB21" s="1">
        <v>3036924.77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 t="s">
        <v>187</v>
      </c>
      <c r="DR21" s="1">
        <f>'1'!$B$5</f>
        <v>3046098.51</v>
      </c>
      <c r="DS21" s="1">
        <f>'1'!$B$5</f>
        <v>3046098.51</v>
      </c>
      <c r="DT21" s="1">
        <v>0</v>
      </c>
      <c r="DU21" s="1">
        <v>1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f>DS21+DT21+DV21-DW21+DX21-DY21+DZ21+EA21+EB21</f>
        <v>3046098.51</v>
      </c>
      <c r="EE21" s="1">
        <f>'1'!$B$15</f>
        <v>140203.94</v>
      </c>
      <c r="EF21" s="1">
        <f>'1'!$B$15</f>
        <v>140203.94</v>
      </c>
      <c r="EG21" s="28">
        <f>'1'!$B$21</f>
        <v>304609.75</v>
      </c>
      <c r="EH21" s="1">
        <v>0</v>
      </c>
      <c r="EI21" s="1">
        <v>0</v>
      </c>
      <c r="EJ21" s="1">
        <v>0</v>
      </c>
      <c r="EK21" s="1">
        <f>EF21+EG21+EH21-EI21-EJ21</f>
        <v>444813.69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f>EM21+EN21-EO21-EP21</f>
        <v>0</v>
      </c>
      <c r="ER21" s="1">
        <f>ED21-EK21-EQ21</f>
        <v>2601284.8199999998</v>
      </c>
      <c r="ES21" s="1">
        <v>0</v>
      </c>
      <c r="ET21" s="1">
        <v>0</v>
      </c>
      <c r="EZ21" t="s">
        <v>170</v>
      </c>
      <c r="FA21" t="s">
        <v>199</v>
      </c>
    </row>
    <row r="22" spans="1:157" ht="28.9">
      <c r="A22" s="6" t="s">
        <v>216</v>
      </c>
      <c r="B22" s="6"/>
      <c r="C22" s="6" t="s">
        <v>200</v>
      </c>
      <c r="D22" t="s">
        <v>164</v>
      </c>
      <c r="E22">
        <v>0</v>
      </c>
      <c r="F22">
        <v>10767</v>
      </c>
      <c r="G22" t="s">
        <v>165</v>
      </c>
      <c r="H22" t="s">
        <v>166</v>
      </c>
      <c r="I22" t="s">
        <v>167</v>
      </c>
      <c r="K22" t="s">
        <v>167</v>
      </c>
      <c r="O22" t="s">
        <v>168</v>
      </c>
      <c r="P22" t="s">
        <v>169</v>
      </c>
      <c r="Q22" t="s">
        <v>170</v>
      </c>
      <c r="R22" t="s">
        <v>167</v>
      </c>
      <c r="S22" t="s">
        <v>171</v>
      </c>
      <c r="U22" t="s">
        <v>167</v>
      </c>
      <c r="V22" t="s">
        <v>167</v>
      </c>
      <c r="W22" t="s">
        <v>172</v>
      </c>
      <c r="X22" t="s">
        <v>173</v>
      </c>
      <c r="Y22" t="s">
        <v>174</v>
      </c>
      <c r="Z22" t="s">
        <v>170</v>
      </c>
      <c r="AA22" t="s">
        <v>175</v>
      </c>
      <c r="AB22" t="s">
        <v>176</v>
      </c>
      <c r="AC22" t="s">
        <v>177</v>
      </c>
      <c r="AD22" t="s">
        <v>178</v>
      </c>
      <c r="AE22" t="s">
        <v>179</v>
      </c>
      <c r="AF22" s="3">
        <v>45306</v>
      </c>
      <c r="AG22" s="3">
        <v>45306</v>
      </c>
      <c r="AH22" s="3">
        <v>45306</v>
      </c>
      <c r="AL22" s="3">
        <v>45306</v>
      </c>
      <c r="AM22" s="3">
        <v>45473</v>
      </c>
      <c r="AN22" t="s">
        <v>180</v>
      </c>
      <c r="AP22" s="3">
        <v>45473</v>
      </c>
      <c r="AS22" t="s">
        <v>181</v>
      </c>
      <c r="AT22" t="s">
        <v>182</v>
      </c>
      <c r="AV22" t="s">
        <v>182</v>
      </c>
      <c r="AW22" s="5">
        <v>3807623.14</v>
      </c>
      <c r="AX22" s="7">
        <f>ER22</f>
        <v>1950963.65</v>
      </c>
      <c r="AY22">
        <v>0</v>
      </c>
      <c r="AZ22">
        <v>0</v>
      </c>
      <c r="BA22" t="s">
        <v>183</v>
      </c>
      <c r="BB22">
        <v>10</v>
      </c>
      <c r="BC22">
        <v>120</v>
      </c>
      <c r="BD22">
        <v>3650</v>
      </c>
      <c r="BE22" s="4">
        <f>BG22/365</f>
        <v>8.5397260273972595</v>
      </c>
      <c r="BF22" s="4">
        <f>BE22*12</f>
        <v>102.47671232876712</v>
      </c>
      <c r="BG22" s="4">
        <f>'1'!$D$28</f>
        <v>3117</v>
      </c>
      <c r="BI22" t="s">
        <v>184</v>
      </c>
      <c r="BN22">
        <v>1</v>
      </c>
      <c r="BO22">
        <v>0</v>
      </c>
      <c r="BP22">
        <v>0</v>
      </c>
      <c r="BY22" t="s">
        <v>185</v>
      </c>
      <c r="BZ22" t="s">
        <v>186</v>
      </c>
      <c r="CA22" t="s">
        <v>187</v>
      </c>
      <c r="CB22" t="s">
        <v>188</v>
      </c>
      <c r="CC22" t="s">
        <v>189</v>
      </c>
      <c r="CD22" t="s">
        <v>190</v>
      </c>
      <c r="CE22" t="s">
        <v>191</v>
      </c>
      <c r="CF22" t="s">
        <v>192</v>
      </c>
      <c r="CG22" t="s">
        <v>193</v>
      </c>
      <c r="CH22" t="s">
        <v>194</v>
      </c>
      <c r="CI22" t="s">
        <v>195</v>
      </c>
      <c r="CJ22" t="s">
        <v>196</v>
      </c>
      <c r="CK22" t="s">
        <v>197</v>
      </c>
      <c r="CN22" t="s">
        <v>198</v>
      </c>
      <c r="CU22">
        <v>-32.188583870550602</v>
      </c>
      <c r="CV22">
        <v>28.055331967751801</v>
      </c>
      <c r="CW22" s="1">
        <f>DS22</f>
        <v>2284573.88</v>
      </c>
      <c r="CX22">
        <v>0</v>
      </c>
      <c r="CZ22" s="1"/>
      <c r="DA22" s="1">
        <v>1</v>
      </c>
      <c r="DB22" s="1">
        <v>3036924.77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 t="s">
        <v>187</v>
      </c>
      <c r="DR22" s="1">
        <f>'1'!$C$5</f>
        <v>3807623.14</v>
      </c>
      <c r="DS22" s="1">
        <f>'1'!$D$5</f>
        <v>2284573.88</v>
      </c>
      <c r="DT22" s="1">
        <v>0</v>
      </c>
      <c r="DU22" s="1">
        <v>1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f>DS22+DT22+DV22-DW22+DX22-DY22+DZ22+EA22+EB22</f>
        <v>2284573.88</v>
      </c>
      <c r="EE22" s="1">
        <f>'1'!$D$15</f>
        <v>105152.94</v>
      </c>
      <c r="EF22" s="1">
        <f>'1'!$D$15</f>
        <v>105152.94</v>
      </c>
      <c r="EG22" s="28">
        <f>'1'!$D$21</f>
        <v>228457.29</v>
      </c>
      <c r="EH22" s="1">
        <v>0</v>
      </c>
      <c r="EI22" s="1">
        <v>0</v>
      </c>
      <c r="EJ22" s="1">
        <v>0</v>
      </c>
      <c r="EK22" s="1">
        <f>EF22+EG22+EH22-EI22-EJ22</f>
        <v>333610.23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f>EM22+EN22-EO22-EP22</f>
        <v>0</v>
      </c>
      <c r="ER22" s="1">
        <f>ED22-EK22-EQ22</f>
        <v>1950963.65</v>
      </c>
      <c r="ES22" s="1">
        <v>0</v>
      </c>
      <c r="ET22" s="1">
        <v>0</v>
      </c>
      <c r="EZ22" t="s">
        <v>170</v>
      </c>
      <c r="FA22" t="s">
        <v>199</v>
      </c>
    </row>
    <row r="23" spans="1:157" ht="29.45" thickBot="1">
      <c r="A23" s="6" t="s">
        <v>216</v>
      </c>
      <c r="B23" s="6"/>
      <c r="C23" s="1" t="s">
        <v>201</v>
      </c>
      <c r="CZ23" s="1"/>
      <c r="DS23" s="8">
        <f>DS21-DS22</f>
        <v>761524.62999999989</v>
      </c>
      <c r="ED23" s="8">
        <f>ED21-ED22</f>
        <v>761524.62999999989</v>
      </c>
      <c r="EE23" s="8">
        <f t="shared" ref="EE23:EF23" si="2">EE21-EE22</f>
        <v>35051</v>
      </c>
      <c r="EF23" s="8">
        <f t="shared" si="2"/>
        <v>35051</v>
      </c>
      <c r="EG23" s="8">
        <f>EG21-EG22</f>
        <v>76152.459999999992</v>
      </c>
      <c r="EH23" s="8">
        <f t="shared" ref="EH23" si="3">EH21-EH22</f>
        <v>0</v>
      </c>
      <c r="EI23" s="8">
        <f t="shared" ref="EI23" si="4">EI21-EI22</f>
        <v>0</v>
      </c>
      <c r="EJ23" s="8">
        <f t="shared" ref="EJ23" si="5">EJ21-EJ22</f>
        <v>0</v>
      </c>
      <c r="EK23" s="8">
        <f t="shared" ref="EK23" si="6">EK21-EK22</f>
        <v>111203.46000000002</v>
      </c>
      <c r="ER23" s="8">
        <f>ER21-ER22</f>
        <v>650321.16999999993</v>
      </c>
    </row>
    <row r="24" spans="1:157" ht="15" thickTop="1">
      <c r="A24" s="5"/>
      <c r="B24" s="5"/>
      <c r="C24" s="5"/>
    </row>
    <row r="25" spans="1:157">
      <c r="A25" s="9" t="s">
        <v>202</v>
      </c>
      <c r="B25" s="9"/>
      <c r="C25" s="9" t="s">
        <v>203</v>
      </c>
      <c r="D25" s="10" t="s">
        <v>204</v>
      </c>
      <c r="E25" s="10" t="s">
        <v>205</v>
      </c>
    </row>
    <row r="26" spans="1:157">
      <c r="A26" s="6" t="s">
        <v>206</v>
      </c>
      <c r="B26" s="9"/>
      <c r="C26" s="9"/>
      <c r="D26" s="10"/>
      <c r="E26" s="10"/>
    </row>
    <row r="27" spans="1:157">
      <c r="A27" s="6" t="s">
        <v>207</v>
      </c>
      <c r="B27" s="6"/>
      <c r="C27" s="11">
        <f>DS21</f>
        <v>3046098.51</v>
      </c>
      <c r="D27" s="11">
        <f>DS22</f>
        <v>2284573.88</v>
      </c>
      <c r="E27" s="11">
        <f>D27-C27</f>
        <v>-761524.62999999989</v>
      </c>
      <c r="G27" s="5"/>
    </row>
    <row r="28" spans="1:157">
      <c r="A28" s="6" t="s">
        <v>208</v>
      </c>
      <c r="B28" s="6"/>
      <c r="C28" s="11"/>
      <c r="D28" s="11"/>
      <c r="E28" s="11"/>
    </row>
    <row r="29" spans="1:157">
      <c r="A29" s="6" t="s">
        <v>209</v>
      </c>
      <c r="B29" s="6"/>
      <c r="C29" s="11"/>
      <c r="D29" s="11"/>
      <c r="E29" s="11">
        <f>-E27</f>
        <v>761524.62999999989</v>
      </c>
    </row>
    <row r="30" spans="1:157">
      <c r="A30" s="6" t="s">
        <v>210</v>
      </c>
      <c r="B30" s="6"/>
      <c r="C30" s="11"/>
      <c r="D30" s="11"/>
      <c r="E30" s="11">
        <f>-E28</f>
        <v>0</v>
      </c>
    </row>
    <row r="31" spans="1:157">
      <c r="A31" s="6" t="s">
        <v>211</v>
      </c>
      <c r="B31" s="6"/>
      <c r="C31" s="11"/>
      <c r="D31" s="11"/>
      <c r="E31" s="11"/>
    </row>
    <row r="32" spans="1:157">
      <c r="A32" s="6" t="s">
        <v>212</v>
      </c>
      <c r="B32" s="6"/>
      <c r="C32" s="11">
        <f>'1'!$B$11</f>
        <v>140203.94</v>
      </c>
      <c r="D32" s="11">
        <f>'1'!$D$11</f>
        <v>105152.94</v>
      </c>
      <c r="E32" s="11">
        <f>C32-D32</f>
        <v>35051</v>
      </c>
    </row>
    <row r="33" spans="1:164">
      <c r="A33" s="6" t="s">
        <v>213</v>
      </c>
      <c r="B33" s="6"/>
      <c r="C33" s="11">
        <f>'1'!$B$21</f>
        <v>304609.75</v>
      </c>
      <c r="D33" s="11">
        <f>'1'!$D$21</f>
        <v>228457.29</v>
      </c>
      <c r="E33" s="11">
        <f>C33-D33</f>
        <v>76152.459999999992</v>
      </c>
    </row>
    <row r="34" spans="1:164">
      <c r="A34" s="6" t="s">
        <v>214</v>
      </c>
      <c r="B34" s="6"/>
      <c r="C34" s="11">
        <f>C32</f>
        <v>140203.94</v>
      </c>
      <c r="D34" s="11">
        <f>D32</f>
        <v>105152.94</v>
      </c>
      <c r="E34" s="11">
        <f>D34-C34</f>
        <v>-35051</v>
      </c>
    </row>
    <row r="35" spans="1:164">
      <c r="A35" s="6" t="s">
        <v>215</v>
      </c>
      <c r="B35" s="6"/>
      <c r="C35" s="11">
        <f>C33</f>
        <v>304609.75</v>
      </c>
      <c r="D35" s="11">
        <f>D33</f>
        <v>228457.29</v>
      </c>
      <c r="E35" s="11">
        <f>D35-C35</f>
        <v>-76152.459999999992</v>
      </c>
    </row>
    <row r="36" spans="1:164">
      <c r="C36" s="11"/>
      <c r="D36" s="11"/>
      <c r="E36" s="11"/>
    </row>
    <row r="39" spans="1:164">
      <c r="D39" t="s">
        <v>1</v>
      </c>
      <c r="E39" t="s">
        <v>2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14</v>
      </c>
      <c r="R39" t="s">
        <v>15</v>
      </c>
      <c r="S39" t="s">
        <v>16</v>
      </c>
      <c r="T39" t="s">
        <v>17</v>
      </c>
      <c r="U39" t="s">
        <v>18</v>
      </c>
      <c r="V39" t="s">
        <v>19</v>
      </c>
      <c r="W39" t="s">
        <v>20</v>
      </c>
      <c r="X39" t="s">
        <v>21</v>
      </c>
      <c r="Y39" t="s">
        <v>22</v>
      </c>
      <c r="Z39" t="s">
        <v>23</v>
      </c>
      <c r="AA39" t="s">
        <v>24</v>
      </c>
      <c r="AB39" t="s">
        <v>25</v>
      </c>
      <c r="AC39" t="s">
        <v>26</v>
      </c>
      <c r="AD39" t="s">
        <v>27</v>
      </c>
      <c r="AE39" t="s">
        <v>28</v>
      </c>
      <c r="AF39" t="s">
        <v>29</v>
      </c>
      <c r="AG39" t="s">
        <v>30</v>
      </c>
      <c r="AH39" t="s">
        <v>31</v>
      </c>
      <c r="AI39" t="s">
        <v>32</v>
      </c>
      <c r="AJ39" t="s">
        <v>33</v>
      </c>
      <c r="AK39" t="s">
        <v>34</v>
      </c>
      <c r="AL39" t="s">
        <v>35</v>
      </c>
      <c r="AM39" t="s">
        <v>36</v>
      </c>
      <c r="AN39" t="s">
        <v>37</v>
      </c>
      <c r="AO39" t="s">
        <v>38</v>
      </c>
      <c r="AP39" t="s">
        <v>39</v>
      </c>
      <c r="AQ39" t="s">
        <v>40</v>
      </c>
      <c r="AR39" t="s">
        <v>41</v>
      </c>
      <c r="AS39" t="s">
        <v>42</v>
      </c>
      <c r="AT39" t="s">
        <v>43</v>
      </c>
      <c r="AU39" t="s">
        <v>44</v>
      </c>
      <c r="AV39" t="s">
        <v>45</v>
      </c>
      <c r="AW39" t="s">
        <v>46</v>
      </c>
      <c r="AX39" t="s">
        <v>47</v>
      </c>
      <c r="AY39" t="s">
        <v>48</v>
      </c>
      <c r="AZ39" t="s">
        <v>49</v>
      </c>
      <c r="BA39" t="s">
        <v>50</v>
      </c>
      <c r="BB39" t="s">
        <v>51</v>
      </c>
      <c r="BC39" t="s">
        <v>52</v>
      </c>
      <c r="BD39" t="s">
        <v>53</v>
      </c>
      <c r="BE39" t="s">
        <v>54</v>
      </c>
      <c r="BF39" t="s">
        <v>55</v>
      </c>
      <c r="BG39" t="s">
        <v>56</v>
      </c>
      <c r="BH39" t="s">
        <v>57</v>
      </c>
      <c r="BI39" t="s">
        <v>58</v>
      </c>
      <c r="BJ39" t="s">
        <v>59</v>
      </c>
      <c r="BK39" t="s">
        <v>60</v>
      </c>
      <c r="BL39" t="s">
        <v>61</v>
      </c>
      <c r="BM39" t="s">
        <v>62</v>
      </c>
      <c r="BN39" t="s">
        <v>63</v>
      </c>
      <c r="BO39" t="s">
        <v>64</v>
      </c>
      <c r="BP39" t="s">
        <v>65</v>
      </c>
      <c r="BQ39" t="s">
        <v>66</v>
      </c>
      <c r="BR39" t="s">
        <v>67</v>
      </c>
      <c r="BS39" t="s">
        <v>68</v>
      </c>
      <c r="BT39" t="s">
        <v>69</v>
      </c>
      <c r="BU39" t="s">
        <v>70</v>
      </c>
      <c r="BV39" t="s">
        <v>71</v>
      </c>
      <c r="BW39" t="s">
        <v>72</v>
      </c>
      <c r="BX39" t="s">
        <v>73</v>
      </c>
      <c r="BY39" t="s">
        <v>74</v>
      </c>
      <c r="BZ39" t="s">
        <v>75</v>
      </c>
      <c r="CA39" t="s">
        <v>76</v>
      </c>
      <c r="CB39" t="s">
        <v>77</v>
      </c>
      <c r="CC39" t="s">
        <v>78</v>
      </c>
      <c r="CD39" t="s">
        <v>79</v>
      </c>
      <c r="CE39" t="s">
        <v>80</v>
      </c>
      <c r="CF39" t="s">
        <v>81</v>
      </c>
      <c r="CG39" t="s">
        <v>82</v>
      </c>
      <c r="CH39" t="s">
        <v>83</v>
      </c>
      <c r="CI39" t="s">
        <v>84</v>
      </c>
      <c r="CJ39" t="s">
        <v>85</v>
      </c>
      <c r="CK39" t="s">
        <v>86</v>
      </c>
      <c r="CL39" t="s">
        <v>87</v>
      </c>
      <c r="CM39" t="s">
        <v>88</v>
      </c>
      <c r="CN39" t="s">
        <v>89</v>
      </c>
      <c r="CO39" t="s">
        <v>90</v>
      </c>
      <c r="CP39" t="s">
        <v>91</v>
      </c>
      <c r="CQ39" t="s">
        <v>92</v>
      </c>
      <c r="CR39" t="s">
        <v>93</v>
      </c>
      <c r="CS39" t="s">
        <v>94</v>
      </c>
      <c r="CT39" t="s">
        <v>95</v>
      </c>
      <c r="CU39" t="s">
        <v>96</v>
      </c>
      <c r="CV39" t="s">
        <v>97</v>
      </c>
      <c r="CW39" t="s">
        <v>98</v>
      </c>
      <c r="CX39" t="s">
        <v>99</v>
      </c>
      <c r="CY39" t="s">
        <v>100</v>
      </c>
      <c r="CZ39" s="5" t="s">
        <v>101</v>
      </c>
      <c r="DA39" s="5" t="s">
        <v>102</v>
      </c>
      <c r="DB39" s="5" t="s">
        <v>103</v>
      </c>
      <c r="DC39" s="5" t="s">
        <v>104</v>
      </c>
      <c r="DD39" s="5" t="s">
        <v>105</v>
      </c>
      <c r="DE39" s="5" t="s">
        <v>106</v>
      </c>
      <c r="DF39" s="5" t="s">
        <v>107</v>
      </c>
      <c r="DG39" s="5" t="s">
        <v>108</v>
      </c>
      <c r="DH39" s="5" t="s">
        <v>109</v>
      </c>
      <c r="DI39" s="5" t="s">
        <v>110</v>
      </c>
      <c r="DJ39" s="5" t="s">
        <v>111</v>
      </c>
      <c r="DK39" s="5" t="s">
        <v>112</v>
      </c>
      <c r="DL39" s="5" t="s">
        <v>113</v>
      </c>
      <c r="DM39" s="5" t="s">
        <v>114</v>
      </c>
      <c r="DN39" s="5" t="s">
        <v>217</v>
      </c>
      <c r="DO39" s="5" t="s">
        <v>116</v>
      </c>
      <c r="DP39" s="5" t="s">
        <v>117</v>
      </c>
      <c r="DQ39" s="5" t="s">
        <v>118</v>
      </c>
      <c r="DR39" s="5" t="s">
        <v>119</v>
      </c>
      <c r="DS39" s="5" t="s">
        <v>120</v>
      </c>
      <c r="DT39" s="5" t="s">
        <v>121</v>
      </c>
      <c r="DU39" s="5" t="s">
        <v>122</v>
      </c>
      <c r="DV39" s="5" t="s">
        <v>123</v>
      </c>
      <c r="DW39" s="5" t="s">
        <v>124</v>
      </c>
      <c r="DX39" s="5" t="s">
        <v>125</v>
      </c>
      <c r="DY39" s="5" t="s">
        <v>126</v>
      </c>
      <c r="DZ39" s="5" t="s">
        <v>127</v>
      </c>
      <c r="EA39" s="5" t="s">
        <v>128</v>
      </c>
      <c r="EB39" s="5" t="s">
        <v>129</v>
      </c>
      <c r="EC39" s="5" t="s">
        <v>130</v>
      </c>
      <c r="ED39" s="5" t="s">
        <v>131</v>
      </c>
      <c r="EE39" s="5" t="s">
        <v>132</v>
      </c>
      <c r="EF39" s="5" t="s">
        <v>133</v>
      </c>
      <c r="EG39" s="5" t="s">
        <v>134</v>
      </c>
      <c r="EH39" s="5" t="s">
        <v>135</v>
      </c>
      <c r="EI39" s="5" t="s">
        <v>136</v>
      </c>
      <c r="EJ39" s="5" t="s">
        <v>137</v>
      </c>
      <c r="EK39" s="5" t="s">
        <v>138</v>
      </c>
      <c r="EL39" s="5" t="s">
        <v>139</v>
      </c>
      <c r="EM39" s="5" t="s">
        <v>140</v>
      </c>
      <c r="EN39" s="5" t="s">
        <v>141</v>
      </c>
      <c r="EO39" s="5" t="s">
        <v>142</v>
      </c>
      <c r="EP39" s="5" t="s">
        <v>143</v>
      </c>
      <c r="EQ39" s="5" t="s">
        <v>144</v>
      </c>
      <c r="ER39" s="5" t="s">
        <v>145</v>
      </c>
      <c r="ES39" s="5" t="s">
        <v>146</v>
      </c>
      <c r="ET39" s="5" t="s">
        <v>147</v>
      </c>
      <c r="EU39" t="s">
        <v>148</v>
      </c>
      <c r="EV39" t="s">
        <v>149</v>
      </c>
      <c r="EW39" t="s">
        <v>150</v>
      </c>
      <c r="EX39" t="s">
        <v>151</v>
      </c>
      <c r="EY39" t="s">
        <v>152</v>
      </c>
      <c r="EZ39" t="s">
        <v>153</v>
      </c>
      <c r="FA39" t="s">
        <v>154</v>
      </c>
      <c r="FB39" t="s">
        <v>155</v>
      </c>
      <c r="FC39" t="s">
        <v>156</v>
      </c>
      <c r="FD39" t="s">
        <v>157</v>
      </c>
      <c r="FE39" t="s">
        <v>158</v>
      </c>
      <c r="FF39" t="s">
        <v>159</v>
      </c>
      <c r="FG39" t="s">
        <v>160</v>
      </c>
      <c r="FH39" t="s">
        <v>161</v>
      </c>
    </row>
    <row r="40" spans="1:164" ht="57.6">
      <c r="A40" s="6" t="s">
        <v>218</v>
      </c>
      <c r="C40" s="6" t="s">
        <v>163</v>
      </c>
      <c r="D40" t="s">
        <v>219</v>
      </c>
      <c r="E40">
        <v>0</v>
      </c>
      <c r="F40">
        <v>7424</v>
      </c>
      <c r="G40" t="s">
        <v>220</v>
      </c>
      <c r="H40" t="s">
        <v>221</v>
      </c>
      <c r="I40" t="s">
        <v>222</v>
      </c>
      <c r="K40" t="s">
        <v>222</v>
      </c>
      <c r="O40" t="s">
        <v>168</v>
      </c>
      <c r="P40" t="s">
        <v>169</v>
      </c>
      <c r="Q40" t="s">
        <v>170</v>
      </c>
      <c r="R40" t="s">
        <v>222</v>
      </c>
      <c r="S40" t="s">
        <v>171</v>
      </c>
      <c r="U40" t="s">
        <v>222</v>
      </c>
      <c r="V40" t="s">
        <v>222</v>
      </c>
      <c r="W40" t="s">
        <v>172</v>
      </c>
      <c r="X40" t="s">
        <v>173</v>
      </c>
      <c r="Y40" t="s">
        <v>174</v>
      </c>
      <c r="Z40" t="s">
        <v>223</v>
      </c>
      <c r="AA40" t="s">
        <v>224</v>
      </c>
      <c r="AB40" t="s">
        <v>176</v>
      </c>
      <c r="AC40" t="s">
        <v>177</v>
      </c>
      <c r="AD40" t="s">
        <v>178</v>
      </c>
      <c r="AE40" t="s">
        <v>179</v>
      </c>
      <c r="AF40" s="3">
        <v>45580</v>
      </c>
      <c r="AG40" s="3">
        <v>41456</v>
      </c>
      <c r="AH40" s="3">
        <v>45473</v>
      </c>
      <c r="AL40" s="14">
        <v>45838.958333333336</v>
      </c>
      <c r="AM40" s="3">
        <v>45473</v>
      </c>
      <c r="AN40" t="s">
        <v>180</v>
      </c>
      <c r="AP40" s="3">
        <v>45473</v>
      </c>
      <c r="AS40" t="s">
        <v>181</v>
      </c>
      <c r="AT40" t="s">
        <v>182</v>
      </c>
      <c r="AV40" t="s">
        <v>182</v>
      </c>
      <c r="AW40">
        <v>12164247</v>
      </c>
      <c r="AX40">
        <v>5378818.7800000003</v>
      </c>
      <c r="AY40">
        <v>0</v>
      </c>
      <c r="AZ40">
        <v>0</v>
      </c>
      <c r="BA40" t="s">
        <v>183</v>
      </c>
      <c r="BB40">
        <v>30</v>
      </c>
      <c r="BC40">
        <f>BB40*12</f>
        <v>360</v>
      </c>
      <c r="BD40">
        <v>10957.5</v>
      </c>
      <c r="BE40">
        <f>BG40/365</f>
        <v>13.158904109589042</v>
      </c>
      <c r="BF40">
        <f>BE40*12</f>
        <v>157.90684931506848</v>
      </c>
      <c r="BG40" s="16">
        <f>'2'!$C$40</f>
        <v>4803</v>
      </c>
      <c r="BI40" t="s">
        <v>225</v>
      </c>
      <c r="BN40">
        <v>1</v>
      </c>
      <c r="BO40">
        <v>0</v>
      </c>
      <c r="BP40">
        <v>0</v>
      </c>
      <c r="BY40" t="s">
        <v>185</v>
      </c>
      <c r="BZ40" t="s">
        <v>186</v>
      </c>
      <c r="CA40" t="s">
        <v>187</v>
      </c>
      <c r="CB40" t="s">
        <v>188</v>
      </c>
      <c r="CC40" t="s">
        <v>189</v>
      </c>
      <c r="CD40" t="s">
        <v>190</v>
      </c>
      <c r="CE40" t="s">
        <v>181</v>
      </c>
      <c r="CF40" t="s">
        <v>192</v>
      </c>
      <c r="CG40" t="s">
        <v>193</v>
      </c>
      <c r="CH40" t="s">
        <v>194</v>
      </c>
      <c r="CI40" t="s">
        <v>195</v>
      </c>
      <c r="CJ40" t="s">
        <v>196</v>
      </c>
      <c r="CK40" t="s">
        <v>197</v>
      </c>
      <c r="CN40" t="s">
        <v>198</v>
      </c>
      <c r="CU40">
        <v>-32.208987610000001</v>
      </c>
      <c r="CV40">
        <v>27.7945338</v>
      </c>
      <c r="CW40">
        <v>1162063.57</v>
      </c>
      <c r="CX40">
        <v>0</v>
      </c>
      <c r="CZ40" s="5"/>
      <c r="DA40" s="3">
        <v>45107</v>
      </c>
      <c r="DB40" s="5">
        <f>'2'!$C$9</f>
        <v>6143458.1699999981</v>
      </c>
      <c r="DC40" s="5">
        <f>'2'!$C$8</f>
        <v>5660048.5999999996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f>DC40-DO40</f>
        <v>4912398.5199999996</v>
      </c>
      <c r="DL40" s="5">
        <v>0</v>
      </c>
      <c r="DM40" s="5">
        <f>'2'!$C$18</f>
        <v>374336.43</v>
      </c>
      <c r="DN40" s="5">
        <f>'2'!$C$31</f>
        <v>373313.65</v>
      </c>
      <c r="DO40" s="5">
        <f>DM40+DN40</f>
        <v>747650.08000000007</v>
      </c>
      <c r="DP40" s="5">
        <f>DK40</f>
        <v>4912398.5199999996</v>
      </c>
      <c r="DQ40" s="5" t="s">
        <v>187</v>
      </c>
      <c r="DR40" s="5">
        <f>'2'!$C$5</f>
        <v>12164247</v>
      </c>
      <c r="DS40" s="5">
        <f>'2'!$C$5</f>
        <v>12164247</v>
      </c>
      <c r="DT40" s="5">
        <v>0</v>
      </c>
      <c r="DU40" s="5">
        <v>1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12164247</v>
      </c>
      <c r="EE40" s="5">
        <f>'2'!$C$23</f>
        <v>6427096.2600000016</v>
      </c>
      <c r="EF40" s="5">
        <f>'2'!$C$23</f>
        <v>6427096.2600000016</v>
      </c>
      <c r="EG40" s="5">
        <f>'2'!$C$30</f>
        <v>405197.3</v>
      </c>
      <c r="EH40" s="5">
        <v>0</v>
      </c>
      <c r="EI40" s="5">
        <v>0</v>
      </c>
      <c r="EJ40" s="5">
        <v>0</v>
      </c>
      <c r="EK40" s="5">
        <f>EF40+EG40</f>
        <v>6832293.5600000015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f>ED40-EK40</f>
        <v>5331953.4399999985</v>
      </c>
      <c r="ES40" s="5">
        <v>0</v>
      </c>
      <c r="ET40" s="5">
        <v>0</v>
      </c>
      <c r="EZ40" t="s">
        <v>170</v>
      </c>
      <c r="FA40" t="s">
        <v>226</v>
      </c>
    </row>
    <row r="41" spans="1:164" ht="57.6">
      <c r="A41" s="6" t="s">
        <v>218</v>
      </c>
      <c r="C41" s="6" t="s">
        <v>200</v>
      </c>
      <c r="D41" t="s">
        <v>219</v>
      </c>
      <c r="E41">
        <v>0</v>
      </c>
      <c r="F41">
        <v>7424</v>
      </c>
      <c r="G41" t="s">
        <v>220</v>
      </c>
      <c r="H41" t="s">
        <v>221</v>
      </c>
      <c r="I41" t="s">
        <v>222</v>
      </c>
      <c r="K41" t="s">
        <v>222</v>
      </c>
      <c r="O41" t="s">
        <v>168</v>
      </c>
      <c r="P41" t="s">
        <v>169</v>
      </c>
      <c r="Q41" t="s">
        <v>170</v>
      </c>
      <c r="R41" t="s">
        <v>222</v>
      </c>
      <c r="S41" t="s">
        <v>171</v>
      </c>
      <c r="U41" t="s">
        <v>222</v>
      </c>
      <c r="V41" t="s">
        <v>222</v>
      </c>
      <c r="W41" t="s">
        <v>172</v>
      </c>
      <c r="X41" t="s">
        <v>173</v>
      </c>
      <c r="Y41" t="s">
        <v>174</v>
      </c>
      <c r="Z41" t="s">
        <v>223</v>
      </c>
      <c r="AA41" t="s">
        <v>224</v>
      </c>
      <c r="AB41" t="s">
        <v>176</v>
      </c>
      <c r="AC41" t="s">
        <v>177</v>
      </c>
      <c r="AD41" t="s">
        <v>178</v>
      </c>
      <c r="AE41" t="s">
        <v>179</v>
      </c>
      <c r="AF41" s="3">
        <v>45580</v>
      </c>
      <c r="AG41" s="3">
        <v>41456</v>
      </c>
      <c r="AH41" s="3">
        <v>45473</v>
      </c>
      <c r="AL41" s="14">
        <v>45838.958333333336</v>
      </c>
      <c r="AM41" s="3">
        <v>45473</v>
      </c>
      <c r="AN41" t="s">
        <v>180</v>
      </c>
      <c r="AP41" s="3">
        <v>45473</v>
      </c>
      <c r="AS41" t="s">
        <v>181</v>
      </c>
      <c r="AT41" t="s">
        <v>182</v>
      </c>
      <c r="AV41" t="s">
        <v>182</v>
      </c>
      <c r="AW41">
        <v>12164247</v>
      </c>
      <c r="AX41">
        <v>5378818.7800000003</v>
      </c>
      <c r="AY41">
        <v>0</v>
      </c>
      <c r="AZ41">
        <v>0</v>
      </c>
      <c r="BA41" t="s">
        <v>183</v>
      </c>
      <c r="BB41">
        <v>30</v>
      </c>
      <c r="BC41">
        <f>BB41*12</f>
        <v>360</v>
      </c>
      <c r="BD41">
        <v>10957.5</v>
      </c>
      <c r="BE41">
        <f>BG41/365</f>
        <v>13.158904109589042</v>
      </c>
      <c r="BF41">
        <f>BE41*12</f>
        <v>157.90684931506848</v>
      </c>
      <c r="BG41" s="16">
        <f>'2'!$D$40</f>
        <v>4803</v>
      </c>
      <c r="BI41" t="s">
        <v>225</v>
      </c>
      <c r="BN41">
        <v>1</v>
      </c>
      <c r="BO41">
        <v>0</v>
      </c>
      <c r="BP41">
        <v>0</v>
      </c>
      <c r="BY41" t="s">
        <v>185</v>
      </c>
      <c r="BZ41" t="s">
        <v>186</v>
      </c>
      <c r="CA41" t="s">
        <v>187</v>
      </c>
      <c r="CB41" t="s">
        <v>188</v>
      </c>
      <c r="CC41" t="s">
        <v>189</v>
      </c>
      <c r="CD41" t="s">
        <v>190</v>
      </c>
      <c r="CE41" t="s">
        <v>181</v>
      </c>
      <c r="CF41" t="s">
        <v>192</v>
      </c>
      <c r="CG41" t="s">
        <v>193</v>
      </c>
      <c r="CH41" t="s">
        <v>194</v>
      </c>
      <c r="CI41" t="s">
        <v>195</v>
      </c>
      <c r="CJ41" t="s">
        <v>196</v>
      </c>
      <c r="CK41" t="s">
        <v>197</v>
      </c>
      <c r="CN41" t="s">
        <v>198</v>
      </c>
      <c r="CU41">
        <v>-32.208987610000001</v>
      </c>
      <c r="CV41">
        <v>27.7945338</v>
      </c>
      <c r="CW41">
        <v>1162063.57</v>
      </c>
      <c r="CX41">
        <v>0</v>
      </c>
      <c r="CZ41" s="5"/>
      <c r="DA41" s="3">
        <v>45107</v>
      </c>
      <c r="DB41" s="5">
        <f>'2'!$D$9</f>
        <v>7500500</v>
      </c>
      <c r="DC41" s="5">
        <f>'2'!$D$8</f>
        <v>7017090.4300000016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f>DC41-DO41</f>
        <v>6090185.2800000012</v>
      </c>
      <c r="DL41" s="5">
        <v>0</v>
      </c>
      <c r="DM41" s="5">
        <f>'2'!$D$18</f>
        <v>464086.57</v>
      </c>
      <c r="DN41" s="5">
        <f>'2'!$D$31</f>
        <v>462818.58</v>
      </c>
      <c r="DO41" s="5">
        <f>DM41+DN41</f>
        <v>926905.15</v>
      </c>
      <c r="DP41" s="5">
        <f>DK41</f>
        <v>6090185.2800000012</v>
      </c>
      <c r="DQ41" s="5" t="s">
        <v>187</v>
      </c>
      <c r="DR41" s="5">
        <f>'2'!$D$5</f>
        <v>14851233.960000001</v>
      </c>
      <c r="DS41" s="5">
        <f>'2'!$D$5</f>
        <v>14851233.960000001</v>
      </c>
      <c r="DT41" s="5">
        <v>0</v>
      </c>
      <c r="DU41" s="5">
        <v>1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f>DS41</f>
        <v>14851233.960000001</v>
      </c>
      <c r="EE41" s="5">
        <f>'2'!$D$23</f>
        <v>7846791.540000001</v>
      </c>
      <c r="EF41" s="5">
        <f>'2'!$D$23</f>
        <v>7846791.540000001</v>
      </c>
      <c r="EG41" s="5">
        <f>'2'!$D$30</f>
        <v>494702.23</v>
      </c>
      <c r="EH41" s="5">
        <v>0</v>
      </c>
      <c r="EI41" s="5">
        <v>0</v>
      </c>
      <c r="EJ41" s="5">
        <v>0</v>
      </c>
      <c r="EK41" s="5">
        <f>EF41+EG41</f>
        <v>8341493.7700000014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f>ED41-EK41</f>
        <v>6509740.1899999995</v>
      </c>
      <c r="ES41" s="5">
        <v>0</v>
      </c>
      <c r="ET41" s="5">
        <v>0</v>
      </c>
      <c r="EZ41" t="s">
        <v>170</v>
      </c>
      <c r="FA41" t="s">
        <v>226</v>
      </c>
    </row>
    <row r="42" spans="1:164">
      <c r="D42" s="3"/>
    </row>
    <row r="43" spans="1:164" ht="15" thickBot="1">
      <c r="A43" s="6" t="s">
        <v>227</v>
      </c>
      <c r="B43" s="15">
        <v>-5660048.5999999996</v>
      </c>
      <c r="C43" s="3"/>
      <c r="D43" s="3"/>
      <c r="DC43" s="8">
        <f>DC40-DC41</f>
        <v>-1357041.8300000019</v>
      </c>
      <c r="DD43" s="8">
        <f t="shared" ref="DD43:DP43" si="7">DD40-DD41</f>
        <v>0</v>
      </c>
      <c r="DE43" s="8">
        <f t="shared" si="7"/>
        <v>0</v>
      </c>
      <c r="DF43" s="8">
        <f t="shared" si="7"/>
        <v>0</v>
      </c>
      <c r="DG43" s="8">
        <f t="shared" si="7"/>
        <v>0</v>
      </c>
      <c r="DH43" s="8">
        <f t="shared" si="7"/>
        <v>0</v>
      </c>
      <c r="DI43" s="8">
        <f t="shared" si="7"/>
        <v>0</v>
      </c>
      <c r="DJ43" s="8">
        <f t="shared" si="7"/>
        <v>0</v>
      </c>
      <c r="DK43" s="8">
        <f t="shared" si="7"/>
        <v>-1177786.7600000016</v>
      </c>
      <c r="DL43" s="8">
        <f t="shared" si="7"/>
        <v>0</v>
      </c>
      <c r="DM43" s="8">
        <f t="shared" si="7"/>
        <v>-89750.140000000014</v>
      </c>
      <c r="DN43" s="8">
        <f t="shared" si="7"/>
        <v>-89504.93</v>
      </c>
      <c r="DO43" s="8">
        <f t="shared" si="7"/>
        <v>-179255.06999999995</v>
      </c>
      <c r="DP43" s="8">
        <f t="shared" si="7"/>
        <v>-1177786.7600000016</v>
      </c>
      <c r="DR43" s="8">
        <f t="shared" ref="DR43:EK43" si="8">DR40-DR41</f>
        <v>-2686986.9600000009</v>
      </c>
      <c r="DS43" s="8">
        <f t="shared" si="8"/>
        <v>-2686986.9600000009</v>
      </c>
      <c r="DT43" s="8">
        <f t="shared" si="8"/>
        <v>0</v>
      </c>
      <c r="DU43" s="8">
        <f t="shared" si="8"/>
        <v>0</v>
      </c>
      <c r="DV43" s="8">
        <f t="shared" si="8"/>
        <v>0</v>
      </c>
      <c r="DW43" s="8">
        <f t="shared" si="8"/>
        <v>0</v>
      </c>
      <c r="DX43" s="8">
        <f t="shared" si="8"/>
        <v>0</v>
      </c>
      <c r="DY43" s="8">
        <f t="shared" si="8"/>
        <v>0</v>
      </c>
      <c r="DZ43" s="8">
        <f t="shared" si="8"/>
        <v>0</v>
      </c>
      <c r="EA43" s="8">
        <f t="shared" si="8"/>
        <v>0</v>
      </c>
      <c r="EB43" s="8">
        <f t="shared" si="8"/>
        <v>0</v>
      </c>
      <c r="EC43" s="8">
        <f t="shared" si="8"/>
        <v>0</v>
      </c>
      <c r="ED43" s="8">
        <f t="shared" si="8"/>
        <v>-2686986.9600000009</v>
      </c>
      <c r="EF43" s="8">
        <f t="shared" si="8"/>
        <v>-1419695.2799999993</v>
      </c>
      <c r="EG43" s="8">
        <f t="shared" si="8"/>
        <v>-89504.93</v>
      </c>
      <c r="EH43" s="8">
        <f t="shared" si="8"/>
        <v>0</v>
      </c>
      <c r="EI43" s="8">
        <f t="shared" si="8"/>
        <v>0</v>
      </c>
      <c r="EJ43" s="8">
        <f t="shared" si="8"/>
        <v>0</v>
      </c>
      <c r="EK43" s="8">
        <f t="shared" si="8"/>
        <v>-1509200.21</v>
      </c>
      <c r="ER43" s="8">
        <f t="shared" ref="ER43" si="9">ER40-ER41</f>
        <v>-1177786.7500000009</v>
      </c>
    </row>
    <row r="44" spans="1:164" ht="15" thickTop="1">
      <c r="A44" s="6" t="s">
        <v>228</v>
      </c>
      <c r="B44" s="15">
        <v>12164247</v>
      </c>
      <c r="D44" s="3"/>
      <c r="E44" s="5"/>
      <c r="F44" s="5"/>
    </row>
    <row r="45" spans="1:164">
      <c r="A45" s="6" t="s">
        <v>229</v>
      </c>
      <c r="B45" s="15">
        <v>6020788.8300000019</v>
      </c>
      <c r="C45" s="15">
        <v>7500500</v>
      </c>
      <c r="D45" s="1">
        <f>ROUND(C45/B47*B46,2)</f>
        <v>14851233.960000001</v>
      </c>
      <c r="E45" s="5">
        <f>D45-C45</f>
        <v>7350733.9600000009</v>
      </c>
      <c r="F45" s="5">
        <f>C45-C46</f>
        <v>1357041.8300000019</v>
      </c>
    </row>
    <row r="46" spans="1:164">
      <c r="A46" s="6" t="s">
        <v>230</v>
      </c>
      <c r="B46" s="17">
        <v>10957.5</v>
      </c>
      <c r="C46" s="5">
        <f>B44-B45</f>
        <v>6143458.1699999981</v>
      </c>
      <c r="D46" s="5">
        <f>ROUND(C46/5534*10957.5,2)</f>
        <v>12164247</v>
      </c>
      <c r="E46" s="5">
        <f>D46-C46</f>
        <v>6020788.8300000019</v>
      </c>
      <c r="F46" s="5">
        <f>-B43+F45</f>
        <v>7017090.4300000016</v>
      </c>
    </row>
    <row r="47" spans="1:164">
      <c r="A47" s="6" t="s">
        <v>231</v>
      </c>
      <c r="B47" s="16">
        <v>5534</v>
      </c>
      <c r="E47" s="5"/>
    </row>
    <row r="48" spans="1:164">
      <c r="A48" s="6" t="s">
        <v>232</v>
      </c>
      <c r="B48" s="5">
        <v>4318557.7399999984</v>
      </c>
      <c r="E48" s="5"/>
    </row>
    <row r="49" spans="1:5">
      <c r="A49" s="6" t="s">
        <v>233</v>
      </c>
      <c r="B49" s="5">
        <v>-3835148.1699999995</v>
      </c>
      <c r="E49" s="5"/>
    </row>
    <row r="50" spans="1:5">
      <c r="A50" s="6" t="s">
        <v>234</v>
      </c>
      <c r="B50" s="5">
        <f>C46-B48</f>
        <v>1824900.4299999997</v>
      </c>
      <c r="E50" s="5"/>
    </row>
    <row r="51" spans="1:5">
      <c r="A51" s="6" t="s">
        <v>235</v>
      </c>
      <c r="B51" s="5">
        <f>B43-B49</f>
        <v>-1824900.4300000002</v>
      </c>
      <c r="E51" s="5"/>
    </row>
    <row r="52" spans="1:5">
      <c r="B52" s="5"/>
      <c r="E52" s="5"/>
    </row>
    <row r="53" spans="1:5">
      <c r="A53" s="9" t="s">
        <v>202</v>
      </c>
      <c r="C53" s="9" t="s">
        <v>203</v>
      </c>
      <c r="D53" s="10" t="s">
        <v>204</v>
      </c>
      <c r="E53" s="10" t="s">
        <v>205</v>
      </c>
    </row>
    <row r="54" spans="1:5">
      <c r="A54" s="18" t="s">
        <v>236</v>
      </c>
      <c r="E54" s="5"/>
    </row>
    <row r="55" spans="1:5">
      <c r="A55" t="s">
        <v>237</v>
      </c>
      <c r="C55" s="11">
        <f>DC40</f>
        <v>5660048.5999999996</v>
      </c>
      <c r="D55" s="11">
        <f>DC41</f>
        <v>7017090.4300000016</v>
      </c>
      <c r="E55" s="11">
        <f>-D55+C55</f>
        <v>-1357041.8300000019</v>
      </c>
    </row>
    <row r="56" spans="1:5">
      <c r="A56" t="s">
        <v>238</v>
      </c>
      <c r="C56" s="11">
        <f>DS40</f>
        <v>12164247</v>
      </c>
      <c r="D56" s="11">
        <f>DS41</f>
        <v>14851233.960000001</v>
      </c>
      <c r="E56" s="11">
        <f>D56-C56</f>
        <v>2686986.9600000009</v>
      </c>
    </row>
    <row r="57" spans="1:5">
      <c r="A57" t="s">
        <v>229</v>
      </c>
      <c r="C57" s="11">
        <f>'2'!$C$6</f>
        <v>6020788.8300000019</v>
      </c>
      <c r="D57" s="11">
        <f>'2'!$D$6</f>
        <v>7350733.9600000009</v>
      </c>
      <c r="E57" s="11">
        <f>-D57+C57</f>
        <v>-1329945.129999999</v>
      </c>
    </row>
    <row r="58" spans="1:5">
      <c r="C58" s="11"/>
      <c r="D58" s="11"/>
      <c r="E58" s="11">
        <f>SUM(E55:E57)</f>
        <v>0</v>
      </c>
    </row>
    <row r="59" spans="1:5">
      <c r="A59" t="s">
        <v>239</v>
      </c>
      <c r="C59" s="11"/>
      <c r="D59" s="11"/>
      <c r="E59" s="11"/>
    </row>
    <row r="60" spans="1:5">
      <c r="A60" t="s">
        <v>240</v>
      </c>
      <c r="C60" s="11">
        <f>DM40</f>
        <v>374336.43</v>
      </c>
      <c r="D60" s="11">
        <f>DM41</f>
        <v>464086.57</v>
      </c>
      <c r="E60" s="11">
        <f>D60-C60</f>
        <v>89750.140000000014</v>
      </c>
    </row>
    <row r="61" spans="1:5">
      <c r="A61" t="s">
        <v>241</v>
      </c>
      <c r="C61" s="11">
        <f>DN40</f>
        <v>373313.65</v>
      </c>
      <c r="D61" s="11">
        <f>DN41</f>
        <v>462818.58</v>
      </c>
      <c r="E61" s="11">
        <f>D61-C61</f>
        <v>89504.93</v>
      </c>
    </row>
    <row r="62" spans="1:5">
      <c r="A62" t="s">
        <v>242</v>
      </c>
      <c r="C62" s="11"/>
      <c r="D62" s="11"/>
      <c r="E62" s="11"/>
    </row>
    <row r="63" spans="1:5">
      <c r="A63" t="s">
        <v>243</v>
      </c>
      <c r="C63" s="11">
        <f>'2'!$C$17</f>
        <v>406307.43</v>
      </c>
      <c r="D63" s="11">
        <f>'2'!$D$17</f>
        <v>496057.58</v>
      </c>
      <c r="E63" s="11">
        <f t="shared" ref="E63:E64" si="10">D63-C63</f>
        <v>89750.150000000023</v>
      </c>
    </row>
    <row r="64" spans="1:5">
      <c r="A64" t="s">
        <v>244</v>
      </c>
      <c r="C64" s="11">
        <f>'2'!$C$30</f>
        <v>405197.3</v>
      </c>
      <c r="D64" s="11">
        <f>'2'!$D$30</f>
        <v>494702.23</v>
      </c>
      <c r="E64" s="11">
        <f t="shared" si="10"/>
        <v>89504.93</v>
      </c>
    </row>
    <row r="65" spans="1:164">
      <c r="A65" t="s">
        <v>245</v>
      </c>
      <c r="C65" s="11"/>
      <c r="D65" s="11"/>
      <c r="E65" s="11">
        <f>-E60-E61</f>
        <v>-179255.07</v>
      </c>
    </row>
    <row r="66" spans="1:164">
      <c r="A66" t="s">
        <v>246</v>
      </c>
      <c r="C66" s="11"/>
      <c r="D66" s="11"/>
      <c r="E66" s="11">
        <f>-E63-E64</f>
        <v>-179255.08000000002</v>
      </c>
    </row>
    <row r="67" spans="1:164">
      <c r="E67" s="5"/>
    </row>
    <row r="68" spans="1:164">
      <c r="D68" t="s">
        <v>1</v>
      </c>
      <c r="E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12</v>
      </c>
      <c r="P68" t="s">
        <v>13</v>
      </c>
      <c r="Q68" t="s">
        <v>14</v>
      </c>
      <c r="R68" t="s">
        <v>15</v>
      </c>
      <c r="S68" t="s">
        <v>16</v>
      </c>
      <c r="T68" t="s">
        <v>17</v>
      </c>
      <c r="U68" t="s">
        <v>18</v>
      </c>
      <c r="V68" t="s">
        <v>19</v>
      </c>
      <c r="W68" t="s">
        <v>20</v>
      </c>
      <c r="X68" t="s">
        <v>21</v>
      </c>
      <c r="Y68" t="s">
        <v>22</v>
      </c>
      <c r="Z68" t="s">
        <v>23</v>
      </c>
      <c r="AA68" t="s">
        <v>24</v>
      </c>
      <c r="AB68" t="s">
        <v>25</v>
      </c>
      <c r="AC68" t="s">
        <v>26</v>
      </c>
      <c r="AD68" t="s">
        <v>27</v>
      </c>
      <c r="AE68" t="s">
        <v>28</v>
      </c>
      <c r="AF68" t="s">
        <v>29</v>
      </c>
      <c r="AG68" t="s">
        <v>30</v>
      </c>
      <c r="AH68" t="s">
        <v>31</v>
      </c>
      <c r="AI68" t="s">
        <v>32</v>
      </c>
      <c r="AJ68" t="s">
        <v>33</v>
      </c>
      <c r="AK68" t="s">
        <v>34</v>
      </c>
      <c r="AL68" t="s">
        <v>35</v>
      </c>
      <c r="AM68" t="s">
        <v>36</v>
      </c>
      <c r="AN68" t="s">
        <v>37</v>
      </c>
      <c r="AO68" t="s">
        <v>38</v>
      </c>
      <c r="AP68" t="s">
        <v>39</v>
      </c>
      <c r="AQ68" t="s">
        <v>40</v>
      </c>
      <c r="AR68" t="s">
        <v>41</v>
      </c>
      <c r="AS68" t="s">
        <v>42</v>
      </c>
      <c r="AT68" t="s">
        <v>43</v>
      </c>
      <c r="AU68" t="s">
        <v>44</v>
      </c>
      <c r="AV68" t="s">
        <v>45</v>
      </c>
      <c r="AW68" t="s">
        <v>46</v>
      </c>
      <c r="AX68" t="s">
        <v>47</v>
      </c>
      <c r="AY68" t="s">
        <v>48</v>
      </c>
      <c r="AZ68" t="s">
        <v>49</v>
      </c>
      <c r="BA68" t="s">
        <v>50</v>
      </c>
      <c r="BB68" t="s">
        <v>51</v>
      </c>
      <c r="BC68" t="s">
        <v>52</v>
      </c>
      <c r="BD68" t="s">
        <v>53</v>
      </c>
      <c r="BE68" t="s">
        <v>54</v>
      </c>
      <c r="BF68" t="s">
        <v>55</v>
      </c>
      <c r="BG68" t="s">
        <v>56</v>
      </c>
      <c r="BH68" t="s">
        <v>57</v>
      </c>
      <c r="BI68" t="s">
        <v>58</v>
      </c>
      <c r="BJ68" t="s">
        <v>59</v>
      </c>
      <c r="BK68" t="s">
        <v>60</v>
      </c>
      <c r="BL68" t="s">
        <v>61</v>
      </c>
      <c r="BM68" t="s">
        <v>62</v>
      </c>
      <c r="BN68" t="s">
        <v>63</v>
      </c>
      <c r="BO68" t="s">
        <v>64</v>
      </c>
      <c r="BP68" t="s">
        <v>65</v>
      </c>
      <c r="BQ68" t="s">
        <v>66</v>
      </c>
      <c r="BR68" t="s">
        <v>67</v>
      </c>
      <c r="BS68" t="s">
        <v>68</v>
      </c>
      <c r="BT68" t="s">
        <v>69</v>
      </c>
      <c r="BU68" t="s">
        <v>70</v>
      </c>
      <c r="BV68" t="s">
        <v>71</v>
      </c>
      <c r="BW68" t="s">
        <v>72</v>
      </c>
      <c r="BX68" t="s">
        <v>73</v>
      </c>
      <c r="BY68" t="s">
        <v>74</v>
      </c>
      <c r="BZ68" t="s">
        <v>75</v>
      </c>
      <c r="CA68" t="s">
        <v>76</v>
      </c>
      <c r="CB68" t="s">
        <v>77</v>
      </c>
      <c r="CC68" t="s">
        <v>78</v>
      </c>
      <c r="CD68" t="s">
        <v>79</v>
      </c>
      <c r="CE68" t="s">
        <v>80</v>
      </c>
      <c r="CF68" t="s">
        <v>81</v>
      </c>
      <c r="CG68" t="s">
        <v>82</v>
      </c>
      <c r="CH68" t="s">
        <v>83</v>
      </c>
      <c r="CI68" t="s">
        <v>84</v>
      </c>
      <c r="CJ68" t="s">
        <v>85</v>
      </c>
      <c r="CK68" t="s">
        <v>86</v>
      </c>
      <c r="CL68" t="s">
        <v>87</v>
      </c>
      <c r="CM68" t="s">
        <v>88</v>
      </c>
      <c r="CN68" t="s">
        <v>89</v>
      </c>
      <c r="CO68" t="s">
        <v>90</v>
      </c>
      <c r="CP68" t="s">
        <v>91</v>
      </c>
      <c r="CQ68" t="s">
        <v>92</v>
      </c>
      <c r="CR68" t="s">
        <v>93</v>
      </c>
      <c r="CS68" t="s">
        <v>94</v>
      </c>
      <c r="CT68" t="s">
        <v>95</v>
      </c>
      <c r="CU68" t="s">
        <v>96</v>
      </c>
      <c r="CV68" t="s">
        <v>97</v>
      </c>
      <c r="CW68" t="s">
        <v>98</v>
      </c>
      <c r="CX68" t="s">
        <v>99</v>
      </c>
      <c r="CY68" t="s">
        <v>100</v>
      </c>
      <c r="CZ68" s="5" t="s">
        <v>101</v>
      </c>
      <c r="DA68" s="5" t="s">
        <v>102</v>
      </c>
      <c r="DB68" s="5" t="s">
        <v>103</v>
      </c>
      <c r="DC68" s="5" t="s">
        <v>104</v>
      </c>
      <c r="DD68" s="5" t="s">
        <v>105</v>
      </c>
      <c r="DE68" s="5" t="s">
        <v>106</v>
      </c>
      <c r="DF68" s="5" t="s">
        <v>107</v>
      </c>
      <c r="DG68" s="5" t="s">
        <v>108</v>
      </c>
      <c r="DH68" s="5" t="s">
        <v>109</v>
      </c>
      <c r="DI68" s="5" t="s">
        <v>110</v>
      </c>
      <c r="DJ68" s="5" t="s">
        <v>111</v>
      </c>
      <c r="DK68" s="5" t="s">
        <v>112</v>
      </c>
      <c r="DL68" s="5" t="s">
        <v>113</v>
      </c>
      <c r="DM68" s="5" t="s">
        <v>114</v>
      </c>
      <c r="DN68" s="5" t="s">
        <v>217</v>
      </c>
      <c r="DO68" s="5" t="s">
        <v>116</v>
      </c>
      <c r="DP68" s="5" t="s">
        <v>117</v>
      </c>
      <c r="DQ68" s="5" t="s">
        <v>118</v>
      </c>
      <c r="DR68" s="5" t="s">
        <v>119</v>
      </c>
      <c r="DS68" s="5" t="s">
        <v>120</v>
      </c>
      <c r="DT68" s="5" t="s">
        <v>121</v>
      </c>
      <c r="DU68" s="5" t="s">
        <v>122</v>
      </c>
      <c r="DV68" s="5" t="s">
        <v>123</v>
      </c>
      <c r="DW68" s="5" t="s">
        <v>124</v>
      </c>
      <c r="DX68" s="5" t="s">
        <v>125</v>
      </c>
      <c r="DY68" s="5" t="s">
        <v>126</v>
      </c>
      <c r="DZ68" s="5" t="s">
        <v>127</v>
      </c>
      <c r="EA68" s="5" t="s">
        <v>128</v>
      </c>
      <c r="EB68" s="5" t="s">
        <v>129</v>
      </c>
      <c r="EC68" s="5" t="s">
        <v>130</v>
      </c>
      <c r="ED68" s="5" t="s">
        <v>131</v>
      </c>
      <c r="EE68" s="5" t="s">
        <v>132</v>
      </c>
      <c r="EF68" s="5" t="s">
        <v>133</v>
      </c>
      <c r="EG68" s="5" t="s">
        <v>134</v>
      </c>
      <c r="EH68" s="5" t="s">
        <v>135</v>
      </c>
      <c r="EI68" s="5" t="s">
        <v>136</v>
      </c>
      <c r="EJ68" s="5" t="s">
        <v>137</v>
      </c>
      <c r="EK68" s="5" t="s">
        <v>138</v>
      </c>
      <c r="EL68" s="5" t="s">
        <v>139</v>
      </c>
      <c r="EM68" s="5" t="s">
        <v>140</v>
      </c>
      <c r="EN68" s="5" t="s">
        <v>141</v>
      </c>
      <c r="EO68" s="5" t="s">
        <v>142</v>
      </c>
      <c r="EP68" s="5" t="s">
        <v>143</v>
      </c>
      <c r="EQ68" s="5" t="s">
        <v>144</v>
      </c>
      <c r="ER68" s="5" t="s">
        <v>145</v>
      </c>
      <c r="ES68" s="5" t="s">
        <v>146</v>
      </c>
      <c r="ET68" s="5" t="s">
        <v>147</v>
      </c>
      <c r="EU68" t="s">
        <v>148</v>
      </c>
      <c r="EV68" t="s">
        <v>149</v>
      </c>
      <c r="EW68" t="s">
        <v>150</v>
      </c>
      <c r="EX68" t="s">
        <v>151</v>
      </c>
      <c r="EY68" t="s">
        <v>152</v>
      </c>
      <c r="EZ68" t="s">
        <v>153</v>
      </c>
      <c r="FA68" t="s">
        <v>154</v>
      </c>
      <c r="FB68" t="s">
        <v>155</v>
      </c>
      <c r="FC68" t="s">
        <v>156</v>
      </c>
      <c r="FD68" t="s">
        <v>157</v>
      </c>
      <c r="FE68" t="s">
        <v>158</v>
      </c>
      <c r="FF68" t="s">
        <v>159</v>
      </c>
      <c r="FG68" t="s">
        <v>160</v>
      </c>
      <c r="FH68" t="s">
        <v>161</v>
      </c>
    </row>
    <row r="69" spans="1:164" ht="57.6">
      <c r="A69" s="6" t="s">
        <v>247</v>
      </c>
      <c r="C69" s="6" t="s">
        <v>163</v>
      </c>
      <c r="D69" t="s">
        <v>219</v>
      </c>
      <c r="E69">
        <v>0</v>
      </c>
      <c r="F69">
        <v>7424</v>
      </c>
      <c r="G69" t="s">
        <v>220</v>
      </c>
      <c r="H69" t="s">
        <v>221</v>
      </c>
      <c r="I69" t="s">
        <v>222</v>
      </c>
      <c r="K69" t="s">
        <v>222</v>
      </c>
      <c r="O69" t="s">
        <v>168</v>
      </c>
      <c r="P69" t="s">
        <v>169</v>
      </c>
      <c r="Q69" t="s">
        <v>170</v>
      </c>
      <c r="R69" t="s">
        <v>222</v>
      </c>
      <c r="S69" t="s">
        <v>171</v>
      </c>
      <c r="U69" t="s">
        <v>222</v>
      </c>
      <c r="V69" t="s">
        <v>222</v>
      </c>
      <c r="W69" t="s">
        <v>172</v>
      </c>
      <c r="X69" t="s">
        <v>173</v>
      </c>
      <c r="Y69" t="s">
        <v>174</v>
      </c>
      <c r="Z69" t="s">
        <v>223</v>
      </c>
      <c r="AA69" t="s">
        <v>224</v>
      </c>
      <c r="AB69" t="s">
        <v>176</v>
      </c>
      <c r="AC69" t="s">
        <v>177</v>
      </c>
      <c r="AD69" t="s">
        <v>178</v>
      </c>
      <c r="AE69" t="s">
        <v>179</v>
      </c>
      <c r="AF69" s="3">
        <v>45580</v>
      </c>
      <c r="AG69" s="3">
        <v>41456</v>
      </c>
      <c r="AH69" s="3">
        <v>45473</v>
      </c>
      <c r="AL69" s="14">
        <v>45838.958333333336</v>
      </c>
      <c r="AM69" s="3">
        <v>45473</v>
      </c>
      <c r="AN69" t="s">
        <v>180</v>
      </c>
      <c r="AP69" s="3">
        <v>45473</v>
      </c>
      <c r="AS69" t="s">
        <v>181</v>
      </c>
      <c r="AT69" t="s">
        <v>182</v>
      </c>
      <c r="AV69" t="s">
        <v>182</v>
      </c>
      <c r="AW69">
        <v>12164247</v>
      </c>
      <c r="AX69">
        <v>5378818.7800000003</v>
      </c>
      <c r="AY69">
        <v>0</v>
      </c>
      <c r="AZ69">
        <v>0</v>
      </c>
      <c r="BA69" t="s">
        <v>183</v>
      </c>
      <c r="BB69">
        <v>30</v>
      </c>
      <c r="BC69">
        <f>BB69*12</f>
        <v>360</v>
      </c>
      <c r="BD69">
        <v>10957.5</v>
      </c>
      <c r="BE69">
        <f>BG69/365</f>
        <v>13.158904109589042</v>
      </c>
      <c r="BF69">
        <f>BE69*12</f>
        <v>157.90684931506848</v>
      </c>
      <c r="BG69" s="16">
        <f>'2'!$C$40</f>
        <v>4803</v>
      </c>
      <c r="BI69" t="s">
        <v>225</v>
      </c>
      <c r="BN69">
        <v>1</v>
      </c>
      <c r="BO69">
        <v>0</v>
      </c>
      <c r="BP69">
        <v>0</v>
      </c>
      <c r="BY69" t="s">
        <v>185</v>
      </c>
      <c r="BZ69" t="s">
        <v>186</v>
      </c>
      <c r="CA69" t="s">
        <v>187</v>
      </c>
      <c r="CB69" t="s">
        <v>188</v>
      </c>
      <c r="CC69" t="s">
        <v>189</v>
      </c>
      <c r="CD69" t="s">
        <v>190</v>
      </c>
      <c r="CE69" t="s">
        <v>181</v>
      </c>
      <c r="CF69" t="s">
        <v>192</v>
      </c>
      <c r="CG69" t="s">
        <v>193</v>
      </c>
      <c r="CH69" t="s">
        <v>194</v>
      </c>
      <c r="CI69" t="s">
        <v>195</v>
      </c>
      <c r="CJ69" t="s">
        <v>196</v>
      </c>
      <c r="CK69" t="s">
        <v>197</v>
      </c>
      <c r="CN69" t="s">
        <v>198</v>
      </c>
      <c r="CU69">
        <v>-32.208987610000001</v>
      </c>
      <c r="CV69">
        <v>27.7945338</v>
      </c>
      <c r="CW69">
        <v>1162063.57</v>
      </c>
      <c r="CX69">
        <v>0</v>
      </c>
      <c r="CZ69" s="5"/>
      <c r="DA69" s="3">
        <v>45107</v>
      </c>
      <c r="DB69" s="5">
        <f>'2'!$C$9</f>
        <v>6143458.1699999981</v>
      </c>
      <c r="DC69" s="5">
        <f>'2'!$C$8</f>
        <v>5660048.5999999996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f>DC69-DO69</f>
        <v>4912398.5199999996</v>
      </c>
      <c r="DL69" s="5">
        <v>0</v>
      </c>
      <c r="DM69" s="5">
        <f>'2'!$C$18</f>
        <v>374336.43</v>
      </c>
      <c r="DN69" s="5">
        <f>'2'!$C$31</f>
        <v>373313.65</v>
      </c>
      <c r="DO69" s="5">
        <f>DM69+DN69</f>
        <v>747650.08000000007</v>
      </c>
      <c r="DP69" s="5">
        <f>DK69</f>
        <v>4912398.5199999996</v>
      </c>
      <c r="DQ69" s="5" t="s">
        <v>187</v>
      </c>
      <c r="DR69" s="5">
        <f>'2'!$C$5</f>
        <v>12164247</v>
      </c>
      <c r="DS69" s="5">
        <f>'2'!$C$5</f>
        <v>12164247</v>
      </c>
      <c r="DT69" s="5">
        <v>0</v>
      </c>
      <c r="DU69" s="5">
        <v>1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12164247</v>
      </c>
      <c r="EE69" s="5">
        <f>'2'!$C$23</f>
        <v>6427096.2600000016</v>
      </c>
      <c r="EF69" s="5">
        <f>'2'!$C$23</f>
        <v>6427096.2600000016</v>
      </c>
      <c r="EG69" s="5">
        <f>'2'!$C$30</f>
        <v>405197.3</v>
      </c>
      <c r="EH69" s="5">
        <v>0</v>
      </c>
      <c r="EI69" s="5">
        <v>0</v>
      </c>
      <c r="EJ69" s="5">
        <v>0</v>
      </c>
      <c r="EK69" s="5">
        <f>EF69+EG69</f>
        <v>6832293.5600000015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f>ED69-EK69</f>
        <v>5331953.4399999985</v>
      </c>
      <c r="ES69" s="5">
        <v>0</v>
      </c>
      <c r="ET69" s="5">
        <v>0</v>
      </c>
      <c r="EZ69" t="s">
        <v>170</v>
      </c>
      <c r="FA69" t="s">
        <v>226</v>
      </c>
    </row>
    <row r="70" spans="1:164" ht="57.6">
      <c r="A70" s="6" t="s">
        <v>247</v>
      </c>
      <c r="C70" s="6" t="s">
        <v>200</v>
      </c>
      <c r="D70" t="s">
        <v>219</v>
      </c>
      <c r="E70">
        <v>0</v>
      </c>
      <c r="F70">
        <v>7424</v>
      </c>
      <c r="G70" t="s">
        <v>220</v>
      </c>
      <c r="H70" t="s">
        <v>221</v>
      </c>
      <c r="I70" t="s">
        <v>222</v>
      </c>
      <c r="K70" t="s">
        <v>222</v>
      </c>
      <c r="O70" t="s">
        <v>168</v>
      </c>
      <c r="P70" t="s">
        <v>169</v>
      </c>
      <c r="Q70" t="s">
        <v>170</v>
      </c>
      <c r="R70" t="s">
        <v>222</v>
      </c>
      <c r="S70" t="s">
        <v>171</v>
      </c>
      <c r="U70" t="s">
        <v>222</v>
      </c>
      <c r="V70" t="s">
        <v>222</v>
      </c>
      <c r="W70" t="s">
        <v>172</v>
      </c>
      <c r="X70" t="s">
        <v>173</v>
      </c>
      <c r="Y70" t="s">
        <v>174</v>
      </c>
      <c r="Z70" t="s">
        <v>223</v>
      </c>
      <c r="AA70" t="s">
        <v>224</v>
      </c>
      <c r="AB70" t="s">
        <v>176</v>
      </c>
      <c r="AC70" t="s">
        <v>177</v>
      </c>
      <c r="AD70" t="s">
        <v>178</v>
      </c>
      <c r="AE70" t="s">
        <v>179</v>
      </c>
      <c r="AF70" s="3">
        <v>45580</v>
      </c>
      <c r="AG70" s="3">
        <v>41456</v>
      </c>
      <c r="AH70" s="3">
        <v>45473</v>
      </c>
      <c r="AL70" s="14">
        <v>45838.958333333336</v>
      </c>
      <c r="AM70" s="3">
        <v>45473</v>
      </c>
      <c r="AN70" t="s">
        <v>180</v>
      </c>
      <c r="AP70" s="3">
        <v>45473</v>
      </c>
      <c r="AS70" t="s">
        <v>181</v>
      </c>
      <c r="AT70" t="s">
        <v>182</v>
      </c>
      <c r="AV70" t="s">
        <v>182</v>
      </c>
      <c r="AW70">
        <v>12164247</v>
      </c>
      <c r="AX70">
        <v>5378818.7800000003</v>
      </c>
      <c r="AY70">
        <v>0</v>
      </c>
      <c r="AZ70">
        <v>0</v>
      </c>
      <c r="BA70" t="s">
        <v>183</v>
      </c>
      <c r="BB70">
        <v>30</v>
      </c>
      <c r="BC70">
        <f>BB70*12</f>
        <v>360</v>
      </c>
      <c r="BD70">
        <v>10957.5</v>
      </c>
      <c r="BE70">
        <f>BG70/365</f>
        <v>13.158904109589042</v>
      </c>
      <c r="BF70">
        <f>BE70*12</f>
        <v>157.90684931506848</v>
      </c>
      <c r="BG70" s="16">
        <f>'2'!$F$40</f>
        <v>4803</v>
      </c>
      <c r="BI70" t="s">
        <v>225</v>
      </c>
      <c r="BN70">
        <v>1</v>
      </c>
      <c r="BO70">
        <v>0</v>
      </c>
      <c r="BP70">
        <v>0</v>
      </c>
      <c r="BY70" t="s">
        <v>185</v>
      </c>
      <c r="BZ70" t="s">
        <v>186</v>
      </c>
      <c r="CA70" t="s">
        <v>187</v>
      </c>
      <c r="CB70" t="s">
        <v>188</v>
      </c>
      <c r="CC70" t="s">
        <v>189</v>
      </c>
      <c r="CD70" t="s">
        <v>190</v>
      </c>
      <c r="CE70" t="s">
        <v>181</v>
      </c>
      <c r="CF70" t="s">
        <v>192</v>
      </c>
      <c r="CG70" t="s">
        <v>193</v>
      </c>
      <c r="CH70" t="s">
        <v>194</v>
      </c>
      <c r="CI70" t="s">
        <v>195</v>
      </c>
      <c r="CJ70" t="s">
        <v>196</v>
      </c>
      <c r="CK70" t="s">
        <v>197</v>
      </c>
      <c r="CN70" t="s">
        <v>198</v>
      </c>
      <c r="CU70">
        <v>-32.208987610000001</v>
      </c>
      <c r="CV70">
        <v>27.7945338</v>
      </c>
      <c r="CW70">
        <v>1162063.57</v>
      </c>
      <c r="CX70">
        <v>0</v>
      </c>
      <c r="CZ70" s="5"/>
      <c r="DA70" s="3">
        <v>45107</v>
      </c>
      <c r="DB70" s="5">
        <f>'2'!$F$9</f>
        <v>5500500</v>
      </c>
      <c r="DC70" s="5">
        <f>'2'!$F$8</f>
        <v>5017090.4300000016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f>DC70-DO70</f>
        <v>4354370.3200000012</v>
      </c>
      <c r="DL70" s="5">
        <v>0</v>
      </c>
      <c r="DM70" s="5">
        <f>'2'!$F$18</f>
        <v>331813.34999999998</v>
      </c>
      <c r="DN70" s="5">
        <f>'2'!$F$31</f>
        <v>330906.76</v>
      </c>
      <c r="DO70" s="5">
        <f>DM70+DN70</f>
        <v>662720.11</v>
      </c>
      <c r="DP70" s="5">
        <f>DK70</f>
        <v>4354370.3200000012</v>
      </c>
      <c r="DQ70" s="5" t="s">
        <v>187</v>
      </c>
      <c r="DR70" s="5">
        <f>'2'!$F$5</f>
        <v>10891168.91</v>
      </c>
      <c r="DS70" s="5">
        <f>'2'!$F$5</f>
        <v>10891168.91</v>
      </c>
      <c r="DT70" s="5">
        <v>0</v>
      </c>
      <c r="DU70" s="5">
        <v>1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f>DS70</f>
        <v>10891168.91</v>
      </c>
      <c r="EE70" s="5">
        <f>'2'!$F$23</f>
        <v>5754453.2700000005</v>
      </c>
      <c r="EF70" s="5">
        <f>'2'!$F$23</f>
        <v>5754453.2700000005</v>
      </c>
      <c r="EG70" s="5">
        <f>'2'!$F$30</f>
        <v>362790.41</v>
      </c>
      <c r="EH70" s="5">
        <v>0</v>
      </c>
      <c r="EI70" s="5">
        <v>0</v>
      </c>
      <c r="EJ70" s="5">
        <v>0</v>
      </c>
      <c r="EK70" s="5">
        <f>EF70+EG70</f>
        <v>6117243.6800000006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f>ED70-EK70</f>
        <v>4773925.2299999995</v>
      </c>
      <c r="ES70" s="5">
        <v>0</v>
      </c>
      <c r="ET70" s="5">
        <v>0</v>
      </c>
      <c r="EZ70" t="s">
        <v>170</v>
      </c>
      <c r="FA70" t="s">
        <v>226</v>
      </c>
    </row>
    <row r="71" spans="1:164">
      <c r="D71" s="3"/>
    </row>
    <row r="72" spans="1:164" ht="15" thickBot="1">
      <c r="A72" s="6" t="s">
        <v>227</v>
      </c>
      <c r="B72" s="15">
        <v>-5660048.5999999996</v>
      </c>
      <c r="C72" s="3"/>
      <c r="D72" s="3"/>
      <c r="DC72" s="8">
        <f>DC69-DC70</f>
        <v>642958.16999999806</v>
      </c>
      <c r="DD72" s="8">
        <f t="shared" ref="DD72:DP72" si="11">DD69-DD70</f>
        <v>0</v>
      </c>
      <c r="DE72" s="8">
        <f t="shared" si="11"/>
        <v>0</v>
      </c>
      <c r="DF72" s="8">
        <f t="shared" si="11"/>
        <v>0</v>
      </c>
      <c r="DG72" s="8">
        <f t="shared" si="11"/>
        <v>0</v>
      </c>
      <c r="DH72" s="8">
        <f t="shared" si="11"/>
        <v>0</v>
      </c>
      <c r="DI72" s="8">
        <f t="shared" si="11"/>
        <v>0</v>
      </c>
      <c r="DJ72" s="8">
        <f t="shared" si="11"/>
        <v>0</v>
      </c>
      <c r="DK72" s="8">
        <f t="shared" si="11"/>
        <v>558028.19999999832</v>
      </c>
      <c r="DL72" s="8">
        <f t="shared" si="11"/>
        <v>0</v>
      </c>
      <c r="DM72" s="8">
        <f t="shared" si="11"/>
        <v>42523.080000000016</v>
      </c>
      <c r="DN72" s="8">
        <f t="shared" si="11"/>
        <v>42406.890000000014</v>
      </c>
      <c r="DO72" s="8">
        <f t="shared" si="11"/>
        <v>84929.970000000088</v>
      </c>
      <c r="DP72" s="8">
        <f t="shared" si="11"/>
        <v>558028.19999999832</v>
      </c>
      <c r="DR72" s="8">
        <f t="shared" ref="DR72:ED72" si="12">DR69-DR70</f>
        <v>1273078.0899999999</v>
      </c>
      <c r="DS72" s="8">
        <f t="shared" si="12"/>
        <v>1273078.0899999999</v>
      </c>
      <c r="DT72" s="8">
        <f t="shared" si="12"/>
        <v>0</v>
      </c>
      <c r="DU72" s="8">
        <f t="shared" si="12"/>
        <v>0</v>
      </c>
      <c r="DV72" s="8">
        <f t="shared" si="12"/>
        <v>0</v>
      </c>
      <c r="DW72" s="8">
        <f t="shared" si="12"/>
        <v>0</v>
      </c>
      <c r="DX72" s="8">
        <f t="shared" si="12"/>
        <v>0</v>
      </c>
      <c r="DY72" s="8">
        <f t="shared" si="12"/>
        <v>0</v>
      </c>
      <c r="DZ72" s="8">
        <f t="shared" si="12"/>
        <v>0</v>
      </c>
      <c r="EA72" s="8">
        <f t="shared" si="12"/>
        <v>0</v>
      </c>
      <c r="EB72" s="8">
        <f t="shared" si="12"/>
        <v>0</v>
      </c>
      <c r="EC72" s="8">
        <f t="shared" si="12"/>
        <v>0</v>
      </c>
      <c r="ED72" s="8">
        <f t="shared" si="12"/>
        <v>1273078.0899999999</v>
      </c>
      <c r="EF72" s="8">
        <f t="shared" ref="EF72:EK72" si="13">EF69-EF70</f>
        <v>672642.99000000115</v>
      </c>
      <c r="EG72" s="8">
        <f t="shared" si="13"/>
        <v>42406.890000000014</v>
      </c>
      <c r="EH72" s="8">
        <f t="shared" si="13"/>
        <v>0</v>
      </c>
      <c r="EI72" s="8">
        <f t="shared" si="13"/>
        <v>0</v>
      </c>
      <c r="EJ72" s="8">
        <f t="shared" si="13"/>
        <v>0</v>
      </c>
      <c r="EK72" s="8">
        <f t="shared" si="13"/>
        <v>715049.88000000082</v>
      </c>
      <c r="ER72" s="8">
        <f t="shared" ref="ER72" si="14">ER69-ER70</f>
        <v>558028.20999999903</v>
      </c>
    </row>
    <row r="73" spans="1:164" ht="15" thickTop="1">
      <c r="A73" s="6" t="s">
        <v>228</v>
      </c>
      <c r="B73" s="15">
        <v>12164247</v>
      </c>
      <c r="D73" s="3"/>
    </row>
    <row r="74" spans="1:164">
      <c r="A74" s="6" t="s">
        <v>229</v>
      </c>
      <c r="B74" s="15">
        <v>6020788.8300000019</v>
      </c>
      <c r="C74" s="15">
        <v>5500500</v>
      </c>
      <c r="D74" s="1">
        <f>ROUND(C74/B76*B75,2)</f>
        <v>10891168.91</v>
      </c>
      <c r="E74" s="5">
        <f>D74-C74</f>
        <v>5390668.9100000001</v>
      </c>
      <c r="F74" s="5">
        <f>C74-C75</f>
        <v>-642958.16999999806</v>
      </c>
      <c r="G74" s="5">
        <f>B72-F74</f>
        <v>-5017090.4300000016</v>
      </c>
    </row>
    <row r="75" spans="1:164">
      <c r="A75" s="6" t="s">
        <v>230</v>
      </c>
      <c r="B75" s="17">
        <v>10957.5</v>
      </c>
      <c r="C75" s="5">
        <f>B73-B74</f>
        <v>6143458.1699999981</v>
      </c>
      <c r="D75" s="5">
        <f>ROUND(C75/5534*10957.5,2)</f>
        <v>12164247</v>
      </c>
      <c r="E75" s="5">
        <f>D75-C75</f>
        <v>6020788.8300000019</v>
      </c>
      <c r="F75" s="5">
        <f>-B72+F74</f>
        <v>5017090.4300000016</v>
      </c>
    </row>
    <row r="76" spans="1:164">
      <c r="A76" s="6" t="s">
        <v>231</v>
      </c>
      <c r="B76" s="16">
        <v>5534</v>
      </c>
      <c r="E76" s="5"/>
    </row>
    <row r="77" spans="1:164">
      <c r="A77" s="6" t="s">
        <v>232</v>
      </c>
      <c r="B77" s="5">
        <v>4318557.7399999984</v>
      </c>
      <c r="E77" s="5"/>
    </row>
    <row r="78" spans="1:164">
      <c r="A78" s="6" t="s">
        <v>233</v>
      </c>
      <c r="B78" s="5">
        <v>-3835148.1699999995</v>
      </c>
      <c r="E78" s="5"/>
    </row>
    <row r="79" spans="1:164">
      <c r="A79" s="6" t="s">
        <v>234</v>
      </c>
      <c r="B79" s="5">
        <f>C75-B77</f>
        <v>1824900.4299999997</v>
      </c>
      <c r="E79" s="5"/>
    </row>
    <row r="80" spans="1:164">
      <c r="A80" s="6" t="s">
        <v>235</v>
      </c>
      <c r="B80" s="5">
        <f>B72-B78</f>
        <v>-1824900.4300000002</v>
      </c>
      <c r="E80" s="5"/>
    </row>
    <row r="81" spans="1:9">
      <c r="E81" s="5"/>
    </row>
    <row r="82" spans="1:9">
      <c r="A82" s="9" t="s">
        <v>202</v>
      </c>
      <c r="C82" s="9" t="s">
        <v>203</v>
      </c>
      <c r="D82" s="10" t="s">
        <v>204</v>
      </c>
      <c r="E82" s="10" t="s">
        <v>205</v>
      </c>
    </row>
    <row r="83" spans="1:9">
      <c r="A83" s="18" t="s">
        <v>236</v>
      </c>
      <c r="E83" s="5"/>
      <c r="H83" s="5"/>
      <c r="I83" s="5"/>
    </row>
    <row r="84" spans="1:9">
      <c r="A84" t="s">
        <v>237</v>
      </c>
      <c r="C84" s="11">
        <f>DC69</f>
        <v>5660048.5999999996</v>
      </c>
      <c r="D84" s="11">
        <f>DC70</f>
        <v>5017090.4300000016</v>
      </c>
      <c r="E84" s="11">
        <f>-D84+C84</f>
        <v>642958.16999999806</v>
      </c>
      <c r="H84" s="5"/>
      <c r="I84" s="5"/>
    </row>
    <row r="85" spans="1:9">
      <c r="A85" t="s">
        <v>238</v>
      </c>
      <c r="C85" s="11">
        <f>DS69</f>
        <v>12164247</v>
      </c>
      <c r="D85" s="11">
        <f>DS70</f>
        <v>10891168.91</v>
      </c>
      <c r="E85" s="11">
        <f>D85-C85</f>
        <v>-1273078.0899999999</v>
      </c>
      <c r="H85" s="5"/>
      <c r="I85" s="5"/>
    </row>
    <row r="86" spans="1:9">
      <c r="A86" t="s">
        <v>229</v>
      </c>
      <c r="C86" s="11">
        <f>'2'!$C$6</f>
        <v>6020788.8300000019</v>
      </c>
      <c r="D86" s="11">
        <f>'2'!$F$6</f>
        <v>5390668.9100000001</v>
      </c>
      <c r="E86" s="11">
        <f>-D86+C86</f>
        <v>630119.92000000179</v>
      </c>
    </row>
    <row r="87" spans="1:9" ht="15" thickBot="1">
      <c r="C87" s="11"/>
      <c r="D87" s="11"/>
      <c r="E87" s="32">
        <f>SUM(E84:E86)</f>
        <v>0</v>
      </c>
    </row>
    <row r="88" spans="1:9" ht="15" thickTop="1">
      <c r="A88" t="s">
        <v>248</v>
      </c>
      <c r="C88" s="11"/>
      <c r="D88" s="11"/>
      <c r="E88" s="11"/>
    </row>
    <row r="89" spans="1:9">
      <c r="A89" t="s">
        <v>240</v>
      </c>
      <c r="C89" s="11">
        <f>DM69</f>
        <v>374336.43</v>
      </c>
      <c r="D89" s="11">
        <f>DM70</f>
        <v>331813.34999999998</v>
      </c>
      <c r="E89" s="11">
        <f>D89-C89</f>
        <v>-42523.080000000016</v>
      </c>
    </row>
    <row r="90" spans="1:9">
      <c r="A90" t="s">
        <v>241</v>
      </c>
      <c r="C90" s="11">
        <f>DN69</f>
        <v>373313.65</v>
      </c>
      <c r="D90" s="11">
        <f>DN70</f>
        <v>330906.76</v>
      </c>
      <c r="E90" s="11">
        <f>D90-C90</f>
        <v>-42406.890000000014</v>
      </c>
    </row>
    <row r="91" spans="1:9">
      <c r="A91" t="s">
        <v>242</v>
      </c>
      <c r="C91" s="11"/>
      <c r="D91" s="11"/>
      <c r="E91" s="11"/>
    </row>
    <row r="92" spans="1:9">
      <c r="A92" t="s">
        <v>243</v>
      </c>
      <c r="C92" s="11">
        <f>'2'!$C$17</f>
        <v>406307.43</v>
      </c>
      <c r="D92" s="11">
        <f>'2'!$F$17</f>
        <v>363784.36</v>
      </c>
      <c r="E92" s="11">
        <f t="shared" ref="E92:E93" si="15">D92-C92</f>
        <v>-42523.070000000007</v>
      </c>
    </row>
    <row r="93" spans="1:9">
      <c r="A93" t="s">
        <v>244</v>
      </c>
      <c r="C93" s="11">
        <f>'2'!$C$30</f>
        <v>405197.3</v>
      </c>
      <c r="D93" s="11">
        <f>'2'!$F$30</f>
        <v>362790.41</v>
      </c>
      <c r="E93" s="11">
        <f t="shared" si="15"/>
        <v>-42406.890000000014</v>
      </c>
    </row>
    <row r="94" spans="1:9">
      <c r="A94" t="s">
        <v>245</v>
      </c>
      <c r="C94" s="11"/>
      <c r="D94" s="11"/>
      <c r="E94" s="11">
        <f>-E89-E90</f>
        <v>84929.97000000003</v>
      </c>
    </row>
    <row r="95" spans="1:9">
      <c r="A95" t="s">
        <v>246</v>
      </c>
      <c r="C95" s="11"/>
      <c r="D95" s="11"/>
      <c r="E95" s="11">
        <f>-E92-E93</f>
        <v>84929.960000000021</v>
      </c>
    </row>
    <row r="96" spans="1:9">
      <c r="E96" s="5"/>
    </row>
    <row r="97" spans="1:157" ht="28.9">
      <c r="A97" s="6" t="s">
        <v>249</v>
      </c>
      <c r="B97" s="6"/>
      <c r="C97" s="6" t="s">
        <v>163</v>
      </c>
      <c r="D97" t="s">
        <v>164</v>
      </c>
      <c r="E97">
        <v>0</v>
      </c>
      <c r="F97">
        <v>10767</v>
      </c>
      <c r="G97" t="s">
        <v>165</v>
      </c>
      <c r="H97" t="s">
        <v>166</v>
      </c>
      <c r="I97" t="s">
        <v>167</v>
      </c>
      <c r="K97" t="s">
        <v>167</v>
      </c>
      <c r="O97" t="s">
        <v>168</v>
      </c>
      <c r="P97" t="s">
        <v>169</v>
      </c>
      <c r="Q97" t="s">
        <v>170</v>
      </c>
      <c r="R97" t="s">
        <v>167</v>
      </c>
      <c r="S97" t="s">
        <v>171</v>
      </c>
      <c r="U97" t="s">
        <v>167</v>
      </c>
      <c r="V97" t="s">
        <v>167</v>
      </c>
      <c r="W97" t="s">
        <v>172</v>
      </c>
      <c r="X97" t="s">
        <v>173</v>
      </c>
      <c r="Y97" t="s">
        <v>174</v>
      </c>
      <c r="Z97" t="s">
        <v>170</v>
      </c>
      <c r="AA97" t="s">
        <v>175</v>
      </c>
      <c r="AB97" t="s">
        <v>176</v>
      </c>
      <c r="AC97" t="s">
        <v>177</v>
      </c>
      <c r="AD97" t="s">
        <v>178</v>
      </c>
      <c r="AE97" t="s">
        <v>179</v>
      </c>
      <c r="AF97" s="3">
        <f>AG97</f>
        <v>45463</v>
      </c>
      <c r="AG97" s="30">
        <f>'3'!$B$7</f>
        <v>45463</v>
      </c>
      <c r="AH97" s="3">
        <f>AG97</f>
        <v>45463</v>
      </c>
      <c r="AL97" s="3">
        <v>45838.958333333336</v>
      </c>
      <c r="AM97" s="3">
        <v>45473</v>
      </c>
      <c r="AN97" t="s">
        <v>180</v>
      </c>
      <c r="AP97" s="3">
        <v>45473</v>
      </c>
      <c r="AS97" t="s">
        <v>181</v>
      </c>
      <c r="AT97" t="s">
        <v>182</v>
      </c>
      <c r="AV97" t="s">
        <v>182</v>
      </c>
      <c r="AW97" s="5">
        <v>3046098.51</v>
      </c>
      <c r="AX97" s="7">
        <f>ER97</f>
        <v>2732308.7399999998</v>
      </c>
      <c r="AY97">
        <v>0</v>
      </c>
      <c r="AZ97">
        <v>0</v>
      </c>
      <c r="BA97" t="s">
        <v>183</v>
      </c>
      <c r="BB97">
        <v>10</v>
      </c>
      <c r="BC97">
        <v>120</v>
      </c>
      <c r="BD97">
        <v>3650</v>
      </c>
      <c r="BE97" s="4">
        <f>BG97/365</f>
        <v>8.9698630136986299</v>
      </c>
      <c r="BF97" s="4">
        <f>BE97*12</f>
        <v>107.63835616438357</v>
      </c>
      <c r="BG97" s="4">
        <f>'3'!$B$28</f>
        <v>3274</v>
      </c>
      <c r="BI97" t="s">
        <v>184</v>
      </c>
      <c r="BN97">
        <v>1</v>
      </c>
      <c r="BO97">
        <v>0</v>
      </c>
      <c r="BP97">
        <v>0</v>
      </c>
      <c r="BY97" t="s">
        <v>185</v>
      </c>
      <c r="BZ97" t="s">
        <v>186</v>
      </c>
      <c r="CA97" t="s">
        <v>187</v>
      </c>
      <c r="CB97" t="s">
        <v>188</v>
      </c>
      <c r="CC97" t="s">
        <v>189</v>
      </c>
      <c r="CD97" t="s">
        <v>190</v>
      </c>
      <c r="CE97" t="s">
        <v>191</v>
      </c>
      <c r="CF97" t="s">
        <v>192</v>
      </c>
      <c r="CG97" t="s">
        <v>193</v>
      </c>
      <c r="CH97" t="s">
        <v>194</v>
      </c>
      <c r="CI97" t="s">
        <v>195</v>
      </c>
      <c r="CJ97" t="s">
        <v>196</v>
      </c>
      <c r="CK97" t="s">
        <v>197</v>
      </c>
      <c r="CN97" t="s">
        <v>198</v>
      </c>
      <c r="CU97">
        <v>-32.188583870550602</v>
      </c>
      <c r="CV97">
        <v>28.055331967751801</v>
      </c>
      <c r="CW97" s="1">
        <v>3046098.51</v>
      </c>
      <c r="CX97">
        <v>0</v>
      </c>
      <c r="CZ97" s="1"/>
      <c r="DA97" s="1">
        <v>1</v>
      </c>
      <c r="DB97" s="1">
        <v>3036924.77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 t="s">
        <v>187</v>
      </c>
      <c r="DR97" s="1">
        <v>3046098.51</v>
      </c>
      <c r="DS97" s="1">
        <v>3046098.51</v>
      </c>
      <c r="DT97" s="1">
        <v>0</v>
      </c>
      <c r="DU97" s="1">
        <v>1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f>DS97+DT97+DV97-DW97+DX97-DY97+DZ97+EA97+EB97</f>
        <v>3046098.51</v>
      </c>
      <c r="EE97" s="1">
        <f>'3'!$B$15</f>
        <v>9180.02</v>
      </c>
      <c r="EF97" s="1">
        <f>'3'!$B$15</f>
        <v>9180.02</v>
      </c>
      <c r="EG97" s="2">
        <f>'3'!$B$21</f>
        <v>304609.75</v>
      </c>
      <c r="EH97" s="1">
        <v>0</v>
      </c>
      <c r="EI97" s="1">
        <v>0</v>
      </c>
      <c r="EJ97" s="1">
        <v>0</v>
      </c>
      <c r="EK97" s="1">
        <f>EF97+EG97+EH97-EI97-EJ97</f>
        <v>313789.77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f>EM97+EN97-EO97-EP97</f>
        <v>0</v>
      </c>
      <c r="ER97" s="1">
        <f>ED97-EK97-EQ97</f>
        <v>2732308.7399999998</v>
      </c>
      <c r="ES97" s="1">
        <v>0</v>
      </c>
      <c r="ET97" s="1">
        <v>0</v>
      </c>
      <c r="EZ97" t="s">
        <v>170</v>
      </c>
      <c r="FA97" t="s">
        <v>199</v>
      </c>
    </row>
    <row r="98" spans="1:157" ht="28.9">
      <c r="A98" s="6" t="s">
        <v>249</v>
      </c>
      <c r="B98" s="6"/>
      <c r="C98" s="6" t="s">
        <v>200</v>
      </c>
      <c r="D98" t="s">
        <v>164</v>
      </c>
      <c r="E98">
        <v>0</v>
      </c>
      <c r="F98">
        <v>10767</v>
      </c>
      <c r="G98" t="s">
        <v>165</v>
      </c>
      <c r="H98" t="s">
        <v>166</v>
      </c>
      <c r="I98" t="s">
        <v>167</v>
      </c>
      <c r="K98" t="s">
        <v>167</v>
      </c>
      <c r="O98" t="s">
        <v>168</v>
      </c>
      <c r="P98" t="s">
        <v>169</v>
      </c>
      <c r="Q98" t="s">
        <v>170</v>
      </c>
      <c r="R98" t="s">
        <v>167</v>
      </c>
      <c r="S98" t="s">
        <v>171</v>
      </c>
      <c r="U98" t="s">
        <v>167</v>
      </c>
      <c r="V98" t="s">
        <v>167</v>
      </c>
      <c r="W98" t="s">
        <v>172</v>
      </c>
      <c r="X98" t="s">
        <v>173</v>
      </c>
      <c r="Y98" t="s">
        <v>174</v>
      </c>
      <c r="Z98" t="s">
        <v>170</v>
      </c>
      <c r="AA98" t="s">
        <v>175</v>
      </c>
      <c r="AB98" t="s">
        <v>176</v>
      </c>
      <c r="AC98" t="s">
        <v>177</v>
      </c>
      <c r="AD98" t="s">
        <v>178</v>
      </c>
      <c r="AE98" t="s">
        <v>179</v>
      </c>
      <c r="AF98" s="3">
        <f>AG98</f>
        <v>45306</v>
      </c>
      <c r="AG98" s="30">
        <f>'3'!$C$7</f>
        <v>45306</v>
      </c>
      <c r="AH98" s="3">
        <f>AG98</f>
        <v>45306</v>
      </c>
      <c r="AL98" s="3">
        <v>45306</v>
      </c>
      <c r="AM98" s="3">
        <v>45473</v>
      </c>
      <c r="AN98" t="s">
        <v>180</v>
      </c>
      <c r="AP98" s="3">
        <v>45473</v>
      </c>
      <c r="AS98" t="s">
        <v>181</v>
      </c>
      <c r="AT98" t="s">
        <v>182</v>
      </c>
      <c r="AV98" t="s">
        <v>182</v>
      </c>
      <c r="AW98" s="5">
        <v>3046098.51</v>
      </c>
      <c r="AX98" s="7">
        <f>ER98</f>
        <v>2601284.8199999998</v>
      </c>
      <c r="AY98">
        <v>0</v>
      </c>
      <c r="AZ98">
        <v>0</v>
      </c>
      <c r="BA98" t="s">
        <v>183</v>
      </c>
      <c r="BB98">
        <v>10</v>
      </c>
      <c r="BC98">
        <v>120</v>
      </c>
      <c r="BD98">
        <v>3650</v>
      </c>
      <c r="BE98" s="4">
        <f>BG98/365</f>
        <v>8.5397260273972595</v>
      </c>
      <c r="BF98" s="4">
        <f>BE98*12</f>
        <v>102.47671232876712</v>
      </c>
      <c r="BG98" s="4">
        <f>'3'!$C$28</f>
        <v>3117</v>
      </c>
      <c r="BI98" t="s">
        <v>184</v>
      </c>
      <c r="BN98">
        <v>1</v>
      </c>
      <c r="BO98">
        <v>0</v>
      </c>
      <c r="BP98">
        <v>0</v>
      </c>
      <c r="BY98" t="s">
        <v>185</v>
      </c>
      <c r="BZ98" t="s">
        <v>186</v>
      </c>
      <c r="CA98" t="s">
        <v>187</v>
      </c>
      <c r="CB98" t="s">
        <v>188</v>
      </c>
      <c r="CC98" t="s">
        <v>189</v>
      </c>
      <c r="CD98" t="s">
        <v>190</v>
      </c>
      <c r="CE98" t="s">
        <v>191</v>
      </c>
      <c r="CF98" t="s">
        <v>192</v>
      </c>
      <c r="CG98" t="s">
        <v>193</v>
      </c>
      <c r="CH98" t="s">
        <v>194</v>
      </c>
      <c r="CI98" t="s">
        <v>195</v>
      </c>
      <c r="CJ98" t="s">
        <v>196</v>
      </c>
      <c r="CK98" t="s">
        <v>197</v>
      </c>
      <c r="CN98" t="s">
        <v>198</v>
      </c>
      <c r="CU98">
        <v>-32.188583870550602</v>
      </c>
      <c r="CV98">
        <v>28.055331967751801</v>
      </c>
      <c r="CW98" s="1">
        <v>3046098.51</v>
      </c>
      <c r="CX98">
        <v>0</v>
      </c>
      <c r="CZ98" s="1"/>
      <c r="DA98" s="1">
        <v>1</v>
      </c>
      <c r="DB98" s="1">
        <v>3036924.77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 t="s">
        <v>187</v>
      </c>
      <c r="DR98" s="1">
        <v>3046098.51</v>
      </c>
      <c r="DS98" s="1">
        <v>3046098.51</v>
      </c>
      <c r="DT98" s="1">
        <v>0</v>
      </c>
      <c r="DU98" s="1">
        <v>1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f>DS98+DT98+DV98-DW98+DX98-DY98+DZ98+EA98+EB98</f>
        <v>3046098.51</v>
      </c>
      <c r="EE98" s="1">
        <f>'3'!$C$15</f>
        <v>140203.94</v>
      </c>
      <c r="EF98" s="1">
        <f>'3'!$C$15</f>
        <v>140203.94</v>
      </c>
      <c r="EG98" s="2">
        <f>'3'!$C$21</f>
        <v>304609.75</v>
      </c>
      <c r="EH98" s="1">
        <v>0</v>
      </c>
      <c r="EI98" s="1">
        <v>0</v>
      </c>
      <c r="EJ98" s="1">
        <v>0</v>
      </c>
      <c r="EK98" s="1">
        <f>EF98+EG98+EH98-EI98-EJ98</f>
        <v>444813.69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f>EM98+EN98-EO98-EP98</f>
        <v>0</v>
      </c>
      <c r="ER98" s="1">
        <f>ED98-EK98-EQ98</f>
        <v>2601284.8199999998</v>
      </c>
      <c r="ES98" s="1">
        <v>0</v>
      </c>
      <c r="ET98" s="1">
        <v>0</v>
      </c>
      <c r="EZ98" t="s">
        <v>170</v>
      </c>
      <c r="FA98" t="s">
        <v>199</v>
      </c>
    </row>
    <row r="99" spans="1:157" ht="29.45" thickBot="1">
      <c r="A99" s="6" t="s">
        <v>249</v>
      </c>
      <c r="B99" s="6"/>
      <c r="C99" s="1" t="s">
        <v>201</v>
      </c>
      <c r="CZ99" s="1"/>
      <c r="DS99" s="8">
        <f>DS97-DS98</f>
        <v>0</v>
      </c>
      <c r="ED99" s="8">
        <f>ED97-ED98</f>
        <v>0</v>
      </c>
      <c r="EE99" s="8">
        <f t="shared" ref="EE99" si="16">EE97-EE98</f>
        <v>-131023.92</v>
      </c>
      <c r="EF99" s="8">
        <f t="shared" ref="EF99" si="17">EF97-EF98</f>
        <v>-131023.92</v>
      </c>
      <c r="EG99" s="8">
        <f>EG97-EG98</f>
        <v>0</v>
      </c>
      <c r="EK99" s="8">
        <f>EK97-EK98</f>
        <v>-131023.91999999998</v>
      </c>
      <c r="ER99" s="8">
        <f>ER97-ER98</f>
        <v>131023.91999999993</v>
      </c>
    </row>
    <row r="100" spans="1:157" ht="15" thickTop="1">
      <c r="A100" s="5"/>
      <c r="B100" s="5"/>
      <c r="C100" s="5"/>
    </row>
    <row r="101" spans="1:157">
      <c r="A101" s="9" t="s">
        <v>202</v>
      </c>
      <c r="B101" s="9"/>
      <c r="C101" s="9" t="s">
        <v>203</v>
      </c>
      <c r="D101" s="10" t="s">
        <v>204</v>
      </c>
      <c r="E101" s="10" t="s">
        <v>205</v>
      </c>
    </row>
    <row r="102" spans="1:157">
      <c r="A102" s="6" t="s">
        <v>206</v>
      </c>
      <c r="B102" s="9"/>
      <c r="C102" s="9"/>
      <c r="D102" s="10"/>
      <c r="E102" s="10"/>
    </row>
    <row r="103" spans="1:157">
      <c r="A103" s="6" t="s">
        <v>207</v>
      </c>
      <c r="B103" s="6"/>
      <c r="C103" s="11">
        <f>DS97</f>
        <v>3046098.51</v>
      </c>
      <c r="D103" s="11">
        <f>DS98</f>
        <v>3046098.51</v>
      </c>
      <c r="E103" s="11">
        <f>D103-C103</f>
        <v>0</v>
      </c>
      <c r="G103" s="5"/>
    </row>
    <row r="104" spans="1:157">
      <c r="A104" s="6" t="s">
        <v>208</v>
      </c>
      <c r="B104" s="6"/>
      <c r="C104" s="11"/>
      <c r="D104" s="11"/>
      <c r="E104" s="11"/>
    </row>
    <row r="105" spans="1:157">
      <c r="A105" s="6" t="s">
        <v>209</v>
      </c>
      <c r="B105" s="6"/>
      <c r="C105" s="11"/>
      <c r="D105" s="11"/>
      <c r="E105" s="11">
        <f>-E103</f>
        <v>0</v>
      </c>
    </row>
    <row r="106" spans="1:157">
      <c r="A106" s="6" t="s">
        <v>210</v>
      </c>
      <c r="B106" s="6"/>
      <c r="C106" s="11"/>
      <c r="D106" s="11"/>
      <c r="E106" s="11">
        <f>-E104</f>
        <v>0</v>
      </c>
    </row>
    <row r="107" spans="1:157">
      <c r="A107" s="6" t="s">
        <v>211</v>
      </c>
      <c r="B107" s="6"/>
      <c r="C107" s="11"/>
      <c r="D107" s="11"/>
      <c r="E107" s="11"/>
    </row>
    <row r="108" spans="1:157">
      <c r="A108" s="6" t="s">
        <v>212</v>
      </c>
      <c r="B108" s="6"/>
      <c r="C108" s="11">
        <f>'3'!$B$11</f>
        <v>9180.02</v>
      </c>
      <c r="D108" s="11">
        <f>'3'!$C$11</f>
        <v>140203.94</v>
      </c>
      <c r="E108" s="11">
        <f>C108-D108</f>
        <v>-131023.92</v>
      </c>
    </row>
    <row r="109" spans="1:157">
      <c r="A109" s="6" t="s">
        <v>213</v>
      </c>
      <c r="B109" s="6"/>
      <c r="C109" s="11">
        <f>'3'!$B$21</f>
        <v>304609.75</v>
      </c>
      <c r="D109" s="11">
        <f>'3'!$C$21</f>
        <v>304609.75</v>
      </c>
      <c r="E109" s="11">
        <f>C109-D109</f>
        <v>0</v>
      </c>
    </row>
    <row r="110" spans="1:157">
      <c r="A110" s="6" t="s">
        <v>214</v>
      </c>
      <c r="B110" s="6"/>
      <c r="C110" s="11">
        <f>C108</f>
        <v>9180.02</v>
      </c>
      <c r="D110" s="11">
        <f>D108</f>
        <v>140203.94</v>
      </c>
      <c r="E110" s="11">
        <f>D110-C110</f>
        <v>131023.92</v>
      </c>
    </row>
    <row r="111" spans="1:157">
      <c r="A111" s="6" t="s">
        <v>215</v>
      </c>
      <c r="B111" s="6"/>
      <c r="C111" s="11">
        <f>C109</f>
        <v>304609.75</v>
      </c>
      <c r="D111" s="11">
        <f>D109</f>
        <v>304609.75</v>
      </c>
      <c r="E111" s="11">
        <f>D111-C111</f>
        <v>0</v>
      </c>
    </row>
    <row r="113" spans="1:157" ht="28.9">
      <c r="A113" s="6" t="s">
        <v>250</v>
      </c>
      <c r="B113" s="6"/>
      <c r="C113" s="6" t="s">
        <v>163</v>
      </c>
      <c r="D113" t="s">
        <v>164</v>
      </c>
      <c r="E113">
        <v>0</v>
      </c>
      <c r="F113">
        <v>10767</v>
      </c>
      <c r="G113" t="s">
        <v>165</v>
      </c>
      <c r="H113" t="s">
        <v>166</v>
      </c>
      <c r="I113" t="s">
        <v>167</v>
      </c>
      <c r="K113" t="s">
        <v>167</v>
      </c>
      <c r="O113" t="s">
        <v>168</v>
      </c>
      <c r="P113" t="s">
        <v>169</v>
      </c>
      <c r="Q113" t="s">
        <v>170</v>
      </c>
      <c r="R113" t="s">
        <v>167</v>
      </c>
      <c r="S113" t="s">
        <v>171</v>
      </c>
      <c r="U113" t="s">
        <v>167</v>
      </c>
      <c r="V113" t="s">
        <v>167</v>
      </c>
      <c r="W113" t="s">
        <v>172</v>
      </c>
      <c r="X113" t="s">
        <v>173</v>
      </c>
      <c r="Y113" t="s">
        <v>174</v>
      </c>
      <c r="Z113" t="s">
        <v>170</v>
      </c>
      <c r="AA113" t="s">
        <v>175</v>
      </c>
      <c r="AB113" t="s">
        <v>176</v>
      </c>
      <c r="AC113" t="s">
        <v>177</v>
      </c>
      <c r="AD113" t="s">
        <v>178</v>
      </c>
      <c r="AE113" t="s">
        <v>179</v>
      </c>
      <c r="AF113" s="3">
        <f>AG113</f>
        <v>45463</v>
      </c>
      <c r="AG113" s="30">
        <f>'3'!$B$7</f>
        <v>45463</v>
      </c>
      <c r="AH113" s="3">
        <f>AG113</f>
        <v>45463</v>
      </c>
      <c r="AL113" s="3">
        <v>45838.958333333336</v>
      </c>
      <c r="AM113" s="3">
        <v>45473</v>
      </c>
      <c r="AN113" t="s">
        <v>180</v>
      </c>
      <c r="AP113" s="3">
        <v>45473</v>
      </c>
      <c r="AS113" t="s">
        <v>181</v>
      </c>
      <c r="AT113" t="s">
        <v>182</v>
      </c>
      <c r="AV113" t="s">
        <v>182</v>
      </c>
      <c r="AW113" s="5">
        <v>3046098.51</v>
      </c>
      <c r="AX113" s="7">
        <f>ER113</f>
        <v>2732308.7399999998</v>
      </c>
      <c r="AY113">
        <v>0</v>
      </c>
      <c r="AZ113">
        <v>0</v>
      </c>
      <c r="BA113" t="s">
        <v>183</v>
      </c>
      <c r="BB113">
        <v>10</v>
      </c>
      <c r="BC113">
        <v>120</v>
      </c>
      <c r="BD113">
        <v>3650</v>
      </c>
      <c r="BE113" s="4">
        <f>BG113/365</f>
        <v>8.9698630136986299</v>
      </c>
      <c r="BF113" s="4">
        <f>BE113*12</f>
        <v>107.63835616438357</v>
      </c>
      <c r="BG113" s="4">
        <f>'3'!$B$28</f>
        <v>3274</v>
      </c>
      <c r="BI113" t="s">
        <v>184</v>
      </c>
      <c r="BN113">
        <v>1</v>
      </c>
      <c r="BO113">
        <v>0</v>
      </c>
      <c r="BP113">
        <v>0</v>
      </c>
      <c r="BY113" t="s">
        <v>185</v>
      </c>
      <c r="BZ113" t="s">
        <v>186</v>
      </c>
      <c r="CA113" t="s">
        <v>187</v>
      </c>
      <c r="CB113" t="s">
        <v>188</v>
      </c>
      <c r="CC113" t="s">
        <v>189</v>
      </c>
      <c r="CD113" t="s">
        <v>190</v>
      </c>
      <c r="CE113" t="s">
        <v>191</v>
      </c>
      <c r="CF113" t="s">
        <v>192</v>
      </c>
      <c r="CG113" t="s">
        <v>193</v>
      </c>
      <c r="CH113" t="s">
        <v>194</v>
      </c>
      <c r="CI113" t="s">
        <v>195</v>
      </c>
      <c r="CJ113" t="s">
        <v>196</v>
      </c>
      <c r="CK113" t="s">
        <v>197</v>
      </c>
      <c r="CN113" t="s">
        <v>198</v>
      </c>
      <c r="CU113">
        <v>-32.188583870550602</v>
      </c>
      <c r="CV113">
        <v>28.055331967751801</v>
      </c>
      <c r="CW113" s="1">
        <v>3046098.51</v>
      </c>
      <c r="CX113">
        <v>0</v>
      </c>
      <c r="CZ113" s="1"/>
      <c r="DA113" s="1">
        <v>1</v>
      </c>
      <c r="DB113" s="1">
        <v>3036924.77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 t="s">
        <v>187</v>
      </c>
      <c r="DR113" s="1">
        <v>3046098.51</v>
      </c>
      <c r="DS113" s="1">
        <v>3046098.51</v>
      </c>
      <c r="DT113" s="1">
        <v>0</v>
      </c>
      <c r="DU113" s="1">
        <v>1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f>DS113+DT113+DV113-DW113+DX113-DY113+DZ113+EA113+EB113</f>
        <v>3046098.51</v>
      </c>
      <c r="EE113" s="1">
        <f>'3'!$B$15</f>
        <v>9180.02</v>
      </c>
      <c r="EF113" s="1">
        <f>'3'!$B$15</f>
        <v>9180.02</v>
      </c>
      <c r="EG113" s="2">
        <f>'3'!$B$21</f>
        <v>304609.75</v>
      </c>
      <c r="EH113" s="1">
        <v>0</v>
      </c>
      <c r="EI113" s="1">
        <v>0</v>
      </c>
      <c r="EJ113" s="1">
        <v>0</v>
      </c>
      <c r="EK113" s="1">
        <f>EF113+EG113+EH113-EI113-EJ113</f>
        <v>313789.77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f>EM113+EN113-EO113-EP113</f>
        <v>0</v>
      </c>
      <c r="ER113" s="1">
        <f>ED113-EK113-EQ113</f>
        <v>2732308.7399999998</v>
      </c>
      <c r="ES113" s="1">
        <v>0</v>
      </c>
      <c r="ET113" s="1">
        <v>0</v>
      </c>
      <c r="EZ113" t="s">
        <v>170</v>
      </c>
      <c r="FA113" t="s">
        <v>199</v>
      </c>
    </row>
    <row r="114" spans="1:157" ht="28.9">
      <c r="A114" s="6" t="s">
        <v>250</v>
      </c>
      <c r="B114" s="6"/>
      <c r="C114" s="6" t="s">
        <v>200</v>
      </c>
      <c r="D114" t="s">
        <v>164</v>
      </c>
      <c r="E114">
        <v>0</v>
      </c>
      <c r="F114">
        <v>10767</v>
      </c>
      <c r="G114" t="s">
        <v>165</v>
      </c>
      <c r="H114" t="s">
        <v>166</v>
      </c>
      <c r="I114" t="s">
        <v>167</v>
      </c>
      <c r="K114" t="s">
        <v>167</v>
      </c>
      <c r="O114" t="s">
        <v>168</v>
      </c>
      <c r="P114" t="s">
        <v>169</v>
      </c>
      <c r="Q114" t="s">
        <v>170</v>
      </c>
      <c r="R114" t="s">
        <v>167</v>
      </c>
      <c r="S114" t="s">
        <v>171</v>
      </c>
      <c r="U114" t="s">
        <v>167</v>
      </c>
      <c r="V114" t="s">
        <v>167</v>
      </c>
      <c r="W114" t="s">
        <v>172</v>
      </c>
      <c r="X114" t="s">
        <v>173</v>
      </c>
      <c r="Y114" t="s">
        <v>174</v>
      </c>
      <c r="Z114" t="s">
        <v>170</v>
      </c>
      <c r="AA114" t="s">
        <v>175</v>
      </c>
      <c r="AB114" t="s">
        <v>176</v>
      </c>
      <c r="AC114" t="s">
        <v>177</v>
      </c>
      <c r="AD114" t="s">
        <v>178</v>
      </c>
      <c r="AE114" t="s">
        <v>179</v>
      </c>
      <c r="AF114" s="3">
        <f>AG114</f>
        <v>45472</v>
      </c>
      <c r="AG114" s="30">
        <f>'3'!$D$7</f>
        <v>45472</v>
      </c>
      <c r="AH114" s="3">
        <f>AG114</f>
        <v>45472</v>
      </c>
      <c r="AL114" s="3">
        <v>45306</v>
      </c>
      <c r="AM114" s="3">
        <v>45473</v>
      </c>
      <c r="AN114" t="s">
        <v>180</v>
      </c>
      <c r="AP114" s="3">
        <v>45473</v>
      </c>
      <c r="AS114" t="s">
        <v>181</v>
      </c>
      <c r="AT114" t="s">
        <v>182</v>
      </c>
      <c r="AV114" t="s">
        <v>182</v>
      </c>
      <c r="AW114" s="5">
        <v>3046098.51</v>
      </c>
      <c r="AX114" s="7">
        <f>ER114</f>
        <v>2739819.67</v>
      </c>
      <c r="AY114">
        <v>0</v>
      </c>
      <c r="AZ114">
        <v>0</v>
      </c>
      <c r="BA114" t="s">
        <v>183</v>
      </c>
      <c r="BB114">
        <v>10</v>
      </c>
      <c r="BC114">
        <v>120</v>
      </c>
      <c r="BD114">
        <v>3650</v>
      </c>
      <c r="BE114" s="4">
        <f>BG114/365</f>
        <v>8.9945205479452053</v>
      </c>
      <c r="BF114" s="4">
        <f>BE114*12</f>
        <v>107.93424657534246</v>
      </c>
      <c r="BG114" s="4">
        <f>'3'!$D$28</f>
        <v>3283</v>
      </c>
      <c r="BI114" t="s">
        <v>184</v>
      </c>
      <c r="BN114">
        <v>1</v>
      </c>
      <c r="BO114">
        <v>0</v>
      </c>
      <c r="BP114">
        <v>0</v>
      </c>
      <c r="BY114" t="s">
        <v>185</v>
      </c>
      <c r="BZ114" t="s">
        <v>186</v>
      </c>
      <c r="CA114" t="s">
        <v>187</v>
      </c>
      <c r="CB114" t="s">
        <v>188</v>
      </c>
      <c r="CC114" t="s">
        <v>189</v>
      </c>
      <c r="CD114" t="s">
        <v>190</v>
      </c>
      <c r="CE114" t="s">
        <v>191</v>
      </c>
      <c r="CF114" t="s">
        <v>192</v>
      </c>
      <c r="CG114" t="s">
        <v>193</v>
      </c>
      <c r="CH114" t="s">
        <v>194</v>
      </c>
      <c r="CI114" t="s">
        <v>195</v>
      </c>
      <c r="CJ114" t="s">
        <v>196</v>
      </c>
      <c r="CK114" t="s">
        <v>197</v>
      </c>
      <c r="CN114" t="s">
        <v>198</v>
      </c>
      <c r="CU114">
        <v>-32.188583870550602</v>
      </c>
      <c r="CV114">
        <v>28.055331967751801</v>
      </c>
      <c r="CW114" s="1">
        <v>3046098.51</v>
      </c>
      <c r="CX114">
        <v>0</v>
      </c>
      <c r="CZ114" s="1"/>
      <c r="DA114" s="1">
        <v>1</v>
      </c>
      <c r="DB114" s="1">
        <v>3036924.77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 t="s">
        <v>187</v>
      </c>
      <c r="DR114" s="1">
        <v>3046098.51</v>
      </c>
      <c r="DS114" s="1">
        <v>3046098.51</v>
      </c>
      <c r="DT114" s="1">
        <v>0</v>
      </c>
      <c r="DU114" s="1">
        <v>1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f>DS114+DT114+DV114-DW114+DX114-DY114+DZ114+EA114+EB114</f>
        <v>3046098.51</v>
      </c>
      <c r="EE114" s="1">
        <f>'3'!$D$15</f>
        <v>1669.09</v>
      </c>
      <c r="EF114" s="1">
        <f>'3'!$D$15</f>
        <v>1669.09</v>
      </c>
      <c r="EG114" s="2">
        <f>'3'!$D$21</f>
        <v>304609.75</v>
      </c>
      <c r="EH114" s="1">
        <v>0</v>
      </c>
      <c r="EI114" s="1">
        <v>0</v>
      </c>
      <c r="EJ114" s="1">
        <v>0</v>
      </c>
      <c r="EK114" s="1">
        <f>EF114+EG114+EH114-EI114-EJ114</f>
        <v>306278.84000000003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f>EM114+EN114-EO114-EP114</f>
        <v>0</v>
      </c>
      <c r="ER114" s="1">
        <f>ED114-EK114-EQ114</f>
        <v>2739819.67</v>
      </c>
      <c r="ES114" s="1">
        <v>0</v>
      </c>
      <c r="ET114" s="1">
        <v>0</v>
      </c>
      <c r="EZ114" t="s">
        <v>170</v>
      </c>
      <c r="FA114" t="s">
        <v>199</v>
      </c>
    </row>
    <row r="115" spans="1:157" ht="29.45" thickBot="1">
      <c r="A115" s="6" t="s">
        <v>250</v>
      </c>
      <c r="B115" s="6"/>
      <c r="C115" s="1" t="s">
        <v>201</v>
      </c>
      <c r="CZ115" s="1"/>
      <c r="DS115" s="8">
        <f>DS113-DS114</f>
        <v>0</v>
      </c>
      <c r="ED115" s="8">
        <f>ED113-ED114</f>
        <v>0</v>
      </c>
      <c r="EE115" s="8">
        <f t="shared" ref="EE115:EF115" si="18">EE113-EE114</f>
        <v>7510.93</v>
      </c>
      <c r="EF115" s="8">
        <f t="shared" si="18"/>
        <v>7510.93</v>
      </c>
      <c r="EG115" s="8">
        <f>EG113-EG114</f>
        <v>0</v>
      </c>
      <c r="EK115" s="8">
        <f>EK113-EK114</f>
        <v>7510.929999999993</v>
      </c>
      <c r="ER115" s="8">
        <f>ER113-ER114</f>
        <v>-7510.9300000001676</v>
      </c>
    </row>
    <row r="116" spans="1:157" ht="15" thickTop="1">
      <c r="A116" s="5"/>
      <c r="B116" s="5"/>
      <c r="C116" s="5"/>
    </row>
    <row r="117" spans="1:157">
      <c r="A117" s="9" t="s">
        <v>202</v>
      </c>
      <c r="B117" s="9"/>
      <c r="C117" s="9" t="s">
        <v>203</v>
      </c>
      <c r="D117" s="10" t="s">
        <v>204</v>
      </c>
      <c r="E117" s="10" t="s">
        <v>205</v>
      </c>
    </row>
    <row r="118" spans="1:157">
      <c r="A118" s="6" t="s">
        <v>206</v>
      </c>
      <c r="B118" s="9"/>
      <c r="C118" s="9"/>
      <c r="D118" s="10"/>
      <c r="E118" s="10"/>
    </row>
    <row r="119" spans="1:157">
      <c r="A119" s="6" t="s">
        <v>207</v>
      </c>
      <c r="B119" s="6"/>
      <c r="C119" s="11">
        <f>DS113</f>
        <v>3046098.51</v>
      </c>
      <c r="D119" s="11">
        <f>DS114</f>
        <v>3046098.51</v>
      </c>
      <c r="E119" s="11">
        <f>D119-C119</f>
        <v>0</v>
      </c>
      <c r="G119" s="5"/>
    </row>
    <row r="120" spans="1:157">
      <c r="A120" s="6" t="s">
        <v>208</v>
      </c>
      <c r="B120" s="6"/>
      <c r="C120" s="11"/>
      <c r="D120" s="11"/>
      <c r="E120" s="11"/>
    </row>
    <row r="121" spans="1:157">
      <c r="A121" s="6" t="s">
        <v>251</v>
      </c>
      <c r="B121" s="6"/>
      <c r="C121" s="11"/>
      <c r="D121" s="11"/>
      <c r="E121" s="11">
        <f>-E119</f>
        <v>0</v>
      </c>
    </row>
    <row r="122" spans="1:157">
      <c r="A122" s="6" t="s">
        <v>252</v>
      </c>
      <c r="B122" s="6"/>
      <c r="C122" s="11"/>
      <c r="D122" s="11"/>
      <c r="E122" s="11">
        <f>-E120</f>
        <v>0</v>
      </c>
    </row>
    <row r="123" spans="1:157">
      <c r="A123" s="6" t="s">
        <v>211</v>
      </c>
      <c r="B123" s="6"/>
      <c r="C123" s="11"/>
      <c r="D123" s="11"/>
      <c r="E123" s="11"/>
    </row>
    <row r="124" spans="1:157">
      <c r="A124" s="6" t="s">
        <v>212</v>
      </c>
      <c r="B124" s="6"/>
      <c r="C124" s="11">
        <f>'3'!$B$11</f>
        <v>9180.02</v>
      </c>
      <c r="D124" s="11">
        <f>'3'!$D$11</f>
        <v>1669.09</v>
      </c>
      <c r="E124" s="11">
        <f>C124-D124</f>
        <v>7510.93</v>
      </c>
    </row>
    <row r="125" spans="1:157">
      <c r="A125" s="6" t="s">
        <v>213</v>
      </c>
      <c r="B125" s="6"/>
      <c r="C125" s="11">
        <f>'3'!$B$21</f>
        <v>304609.75</v>
      </c>
      <c r="D125" s="11">
        <f>'3'!$D$21</f>
        <v>304609.75</v>
      </c>
      <c r="E125" s="11">
        <f>C125-D125</f>
        <v>0</v>
      </c>
    </row>
    <row r="126" spans="1:157">
      <c r="A126" s="6" t="s">
        <v>253</v>
      </c>
      <c r="B126" s="6"/>
      <c r="C126" s="11">
        <f>C124</f>
        <v>9180.02</v>
      </c>
      <c r="D126" s="11">
        <f>D124</f>
        <v>1669.09</v>
      </c>
      <c r="E126" s="11">
        <f>D126-C126</f>
        <v>-7510.93</v>
      </c>
    </row>
    <row r="127" spans="1:157">
      <c r="A127" s="6" t="s">
        <v>254</v>
      </c>
      <c r="B127" s="6"/>
      <c r="C127" s="11">
        <f>C125</f>
        <v>304609.75</v>
      </c>
      <c r="D127" s="11">
        <f>D125</f>
        <v>304609.75</v>
      </c>
      <c r="E127" s="11">
        <f>D127-C127</f>
        <v>0</v>
      </c>
    </row>
    <row r="128" spans="1:157">
      <c r="E128" s="5"/>
    </row>
    <row r="129" spans="1:157" ht="28.9">
      <c r="A129" s="6" t="s">
        <v>255</v>
      </c>
      <c r="B129" s="6"/>
      <c r="C129" s="6" t="s">
        <v>163</v>
      </c>
      <c r="D129" t="s">
        <v>164</v>
      </c>
      <c r="E129">
        <v>0</v>
      </c>
      <c r="F129">
        <v>10767</v>
      </c>
      <c r="G129" t="s">
        <v>165</v>
      </c>
      <c r="H129" t="s">
        <v>166</v>
      </c>
      <c r="I129" t="s">
        <v>167</v>
      </c>
      <c r="K129" t="s">
        <v>167</v>
      </c>
      <c r="O129" t="s">
        <v>168</v>
      </c>
      <c r="P129" t="s">
        <v>169</v>
      </c>
      <c r="Q129" t="s">
        <v>170</v>
      </c>
      <c r="R129" t="s">
        <v>167</v>
      </c>
      <c r="S129" t="s">
        <v>171</v>
      </c>
      <c r="U129" t="s">
        <v>167</v>
      </c>
      <c r="V129" t="s">
        <v>167</v>
      </c>
      <c r="W129" t="s">
        <v>172</v>
      </c>
      <c r="X129" t="s">
        <v>173</v>
      </c>
      <c r="Y129" t="s">
        <v>174</v>
      </c>
      <c r="Z129" t="s">
        <v>170</v>
      </c>
      <c r="AA129" t="s">
        <v>175</v>
      </c>
      <c r="AB129" t="s">
        <v>176</v>
      </c>
      <c r="AC129" t="s">
        <v>177</v>
      </c>
      <c r="AD129" t="s">
        <v>178</v>
      </c>
      <c r="AE129" t="s">
        <v>179</v>
      </c>
      <c r="AF129" s="3">
        <v>45580</v>
      </c>
      <c r="AG129" s="3">
        <v>45463</v>
      </c>
      <c r="AH129" s="3">
        <v>45473</v>
      </c>
      <c r="AL129" s="3">
        <v>45838.958333333336</v>
      </c>
      <c r="AM129" s="3">
        <v>45473</v>
      </c>
      <c r="AN129" t="s">
        <v>180</v>
      </c>
      <c r="AP129" s="3">
        <v>45473</v>
      </c>
      <c r="AS129" t="s">
        <v>181</v>
      </c>
      <c r="AT129" t="s">
        <v>182</v>
      </c>
      <c r="AV129" t="s">
        <v>182</v>
      </c>
      <c r="AW129" s="5">
        <v>0</v>
      </c>
      <c r="AX129" s="7">
        <f>ER129</f>
        <v>0</v>
      </c>
      <c r="AY129">
        <v>0</v>
      </c>
      <c r="AZ129">
        <v>0</v>
      </c>
      <c r="BA129" t="s">
        <v>183</v>
      </c>
      <c r="BB129">
        <v>10</v>
      </c>
      <c r="BC129">
        <v>120</v>
      </c>
      <c r="BD129" s="4">
        <v>2950</v>
      </c>
      <c r="BE129" s="4">
        <f>BG129/365</f>
        <v>0</v>
      </c>
      <c r="BF129" s="4">
        <f>BE129*12</f>
        <v>0</v>
      </c>
      <c r="BG129" s="4">
        <f>'4'!$B$28</f>
        <v>0</v>
      </c>
      <c r="BI129" t="s">
        <v>184</v>
      </c>
      <c r="BN129">
        <v>1</v>
      </c>
      <c r="BO129">
        <v>0</v>
      </c>
      <c r="BP129">
        <v>0</v>
      </c>
      <c r="BY129" t="s">
        <v>185</v>
      </c>
      <c r="BZ129" t="s">
        <v>186</v>
      </c>
      <c r="CA129" t="s">
        <v>187</v>
      </c>
      <c r="CB129" t="s">
        <v>188</v>
      </c>
      <c r="CC129" t="s">
        <v>189</v>
      </c>
      <c r="CD129" t="s">
        <v>190</v>
      </c>
      <c r="CE129" t="s">
        <v>191</v>
      </c>
      <c r="CF129" t="s">
        <v>192</v>
      </c>
      <c r="CG129" t="s">
        <v>193</v>
      </c>
      <c r="CH129" t="s">
        <v>194</v>
      </c>
      <c r="CI129" t="s">
        <v>195</v>
      </c>
      <c r="CJ129" t="s">
        <v>196</v>
      </c>
      <c r="CK129" t="s">
        <v>197</v>
      </c>
      <c r="CN129" t="s">
        <v>198</v>
      </c>
      <c r="CU129">
        <v>-32.188583870550602</v>
      </c>
      <c r="CV129">
        <v>28.055331967751801</v>
      </c>
      <c r="CW129" s="1">
        <f>'4'!$B$5</f>
        <v>0</v>
      </c>
      <c r="CX129">
        <v>0</v>
      </c>
      <c r="CZ129" s="1"/>
      <c r="DA129" s="1">
        <v>1</v>
      </c>
      <c r="DB129" s="1">
        <f>'4'!$B$5</f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 t="s">
        <v>187</v>
      </c>
      <c r="DR129" s="1">
        <f>'4'!$B$5</f>
        <v>0</v>
      </c>
      <c r="DS129" s="1">
        <f>'4'!$B$5</f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f>DS129+DT129+DV129-DW129+DX129-DY129+DZ129+EA129+EB129</f>
        <v>0</v>
      </c>
      <c r="EE129" s="1">
        <f>'4'!$B$15</f>
        <v>0</v>
      </c>
      <c r="EF129" s="1">
        <f>'4'!$B$15</f>
        <v>0</v>
      </c>
      <c r="EG129" s="1">
        <f>'4'!$B$21</f>
        <v>0</v>
      </c>
      <c r="EH129" s="1">
        <v>0</v>
      </c>
      <c r="EI129" s="1">
        <v>0</v>
      </c>
      <c r="EJ129" s="1">
        <v>0</v>
      </c>
      <c r="EK129" s="1">
        <f>EF129+EG129+EH129-EI129-EJ129</f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f>EM129+EN129-EO129-EP129</f>
        <v>0</v>
      </c>
      <c r="ER129" s="1">
        <f>ED129-EK129-EQ129</f>
        <v>0</v>
      </c>
      <c r="ES129" s="1">
        <v>0</v>
      </c>
      <c r="ET129" s="1">
        <v>0</v>
      </c>
      <c r="EZ129" t="s">
        <v>170</v>
      </c>
      <c r="FA129" t="s">
        <v>199</v>
      </c>
    </row>
    <row r="130" spans="1:157" ht="28.9">
      <c r="A130" s="6" t="s">
        <v>255</v>
      </c>
      <c r="B130" s="6"/>
      <c r="C130" s="6" t="s">
        <v>200</v>
      </c>
      <c r="D130" t="s">
        <v>164</v>
      </c>
      <c r="E130">
        <v>0</v>
      </c>
      <c r="F130">
        <v>10767</v>
      </c>
      <c r="G130" t="s">
        <v>165</v>
      </c>
      <c r="H130" t="s">
        <v>166</v>
      </c>
      <c r="I130" t="s">
        <v>167</v>
      </c>
      <c r="K130" t="s">
        <v>167</v>
      </c>
      <c r="O130" t="s">
        <v>168</v>
      </c>
      <c r="P130" t="s">
        <v>169</v>
      </c>
      <c r="Q130" t="s">
        <v>170</v>
      </c>
      <c r="R130" t="s">
        <v>167</v>
      </c>
      <c r="S130" t="s">
        <v>171</v>
      </c>
      <c r="U130" t="s">
        <v>167</v>
      </c>
      <c r="V130" t="s">
        <v>167</v>
      </c>
      <c r="W130" t="s">
        <v>172</v>
      </c>
      <c r="X130" t="s">
        <v>173</v>
      </c>
      <c r="Y130" t="s">
        <v>174</v>
      </c>
      <c r="Z130" t="s">
        <v>170</v>
      </c>
      <c r="AA130" t="s">
        <v>175</v>
      </c>
      <c r="AB130" t="s">
        <v>176</v>
      </c>
      <c r="AC130" t="s">
        <v>177</v>
      </c>
      <c r="AD130" t="s">
        <v>178</v>
      </c>
      <c r="AE130" t="s">
        <v>179</v>
      </c>
      <c r="AF130" s="3">
        <v>45580</v>
      </c>
      <c r="AG130" s="3">
        <v>45463</v>
      </c>
      <c r="AH130" s="3">
        <v>45473</v>
      </c>
      <c r="AL130" s="3">
        <v>45838.958333333336</v>
      </c>
      <c r="AM130" s="3">
        <v>45473</v>
      </c>
      <c r="AN130" t="s">
        <v>180</v>
      </c>
      <c r="AP130" s="3">
        <v>45473</v>
      </c>
      <c r="AS130" t="s">
        <v>181</v>
      </c>
      <c r="AT130" t="s">
        <v>182</v>
      </c>
      <c r="AV130" t="s">
        <v>182</v>
      </c>
      <c r="AW130" s="5">
        <v>3046098.51</v>
      </c>
      <c r="AX130" s="7">
        <f>ER130</f>
        <v>2657850.15</v>
      </c>
      <c r="AY130">
        <v>0</v>
      </c>
      <c r="AZ130">
        <v>0</v>
      </c>
      <c r="BA130" t="s">
        <v>183</v>
      </c>
      <c r="BB130">
        <v>10</v>
      </c>
      <c r="BC130">
        <v>120</v>
      </c>
      <c r="BD130" s="4">
        <v>2950</v>
      </c>
      <c r="BE130" s="4">
        <f>BG130/365</f>
        <v>7.0520547945205481</v>
      </c>
      <c r="BF130" s="4">
        <f>BE130*12</f>
        <v>84.62465753424658</v>
      </c>
      <c r="BG130" s="4">
        <f>'4'!$C$28</f>
        <v>2574</v>
      </c>
      <c r="BI130" t="s">
        <v>184</v>
      </c>
      <c r="BN130">
        <v>1</v>
      </c>
      <c r="BO130">
        <v>0</v>
      </c>
      <c r="BP130">
        <v>0</v>
      </c>
      <c r="BY130" t="s">
        <v>185</v>
      </c>
      <c r="BZ130" t="s">
        <v>186</v>
      </c>
      <c r="CA130" t="s">
        <v>187</v>
      </c>
      <c r="CB130" t="s">
        <v>188</v>
      </c>
      <c r="CC130" t="s">
        <v>189</v>
      </c>
      <c r="CD130" t="s">
        <v>190</v>
      </c>
      <c r="CE130" t="s">
        <v>191</v>
      </c>
      <c r="CF130" t="s">
        <v>192</v>
      </c>
      <c r="CG130" t="s">
        <v>193</v>
      </c>
      <c r="CH130" t="s">
        <v>194</v>
      </c>
      <c r="CI130" t="s">
        <v>195</v>
      </c>
      <c r="CJ130" t="s">
        <v>196</v>
      </c>
      <c r="CK130" t="s">
        <v>197</v>
      </c>
      <c r="CN130" t="s">
        <v>198</v>
      </c>
      <c r="CU130">
        <v>-32.188583870550602</v>
      </c>
      <c r="CV130">
        <v>28.055331967751801</v>
      </c>
      <c r="CW130" s="1">
        <f>'4'!$C$5</f>
        <v>3046098.51</v>
      </c>
      <c r="CX130">
        <v>0</v>
      </c>
      <c r="CZ130" s="1"/>
      <c r="DA130" s="1">
        <v>1</v>
      </c>
      <c r="DB130" s="1">
        <f>'4'!$C$5</f>
        <v>3046098.51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 t="s">
        <v>187</v>
      </c>
      <c r="DR130" s="1">
        <f>'4'!$C$5</f>
        <v>3046098.51</v>
      </c>
      <c r="DS130" s="1">
        <f>'4'!$C$5</f>
        <v>3046098.51</v>
      </c>
      <c r="DT130" s="1">
        <v>0</v>
      </c>
      <c r="DU130" s="1">
        <v>1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f>DS130+DT130+DV130-DW130+DX130-DY130+DZ130+EA130+EB130</f>
        <v>3046098.51</v>
      </c>
      <c r="EE130" s="1">
        <f>'4'!$C$15</f>
        <v>11358.33</v>
      </c>
      <c r="EF130" s="1">
        <f>'4'!$C$15</f>
        <v>11358.33</v>
      </c>
      <c r="EG130" s="1">
        <f>'4'!$C$21</f>
        <v>376890.03</v>
      </c>
      <c r="EH130" s="1">
        <v>0</v>
      </c>
      <c r="EI130" s="1">
        <v>0</v>
      </c>
      <c r="EJ130" s="1">
        <v>0</v>
      </c>
      <c r="EK130" s="1">
        <f>EF130+EG130+EH130-EI130-EJ130</f>
        <v>388248.36000000004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f>EM130+EN130-EO130-EP130</f>
        <v>0</v>
      </c>
      <c r="ER130" s="1">
        <f>ED130-EK130-EQ130</f>
        <v>2657850.15</v>
      </c>
      <c r="ES130" s="1">
        <v>0</v>
      </c>
      <c r="ET130" s="1">
        <v>0</v>
      </c>
      <c r="EZ130" t="s">
        <v>170</v>
      </c>
      <c r="FA130" t="s">
        <v>199</v>
      </c>
    </row>
    <row r="131" spans="1:157" ht="29.45" thickBot="1">
      <c r="A131" s="6" t="s">
        <v>255</v>
      </c>
      <c r="B131" s="6"/>
      <c r="C131" s="1" t="s">
        <v>201</v>
      </c>
      <c r="CZ131" s="1"/>
      <c r="DS131" s="8">
        <f>DS129-DS130</f>
        <v>-3046098.51</v>
      </c>
      <c r="ED131" s="8">
        <f>ED129-ED130</f>
        <v>-3046098.51</v>
      </c>
      <c r="EE131" s="8">
        <f t="shared" ref="EE131" si="19">EE129-EE130</f>
        <v>-11358.33</v>
      </c>
      <c r="EF131" s="8">
        <f t="shared" ref="EF131" si="20">EF129-EF130</f>
        <v>-11358.33</v>
      </c>
      <c r="EG131" s="8">
        <f>EG129-EG130</f>
        <v>-376890.03</v>
      </c>
      <c r="EK131" s="8">
        <f>EK129-EK130</f>
        <v>-388248.36000000004</v>
      </c>
      <c r="ER131" s="8">
        <f>ER129-ER130</f>
        <v>-2657850.15</v>
      </c>
    </row>
    <row r="132" spans="1:157" ht="15" thickTop="1">
      <c r="A132" s="5"/>
      <c r="B132" s="5"/>
      <c r="C132" s="5"/>
    </row>
    <row r="133" spans="1:157">
      <c r="A133" s="9" t="s">
        <v>202</v>
      </c>
      <c r="B133" s="9"/>
      <c r="C133" s="9" t="s">
        <v>203</v>
      </c>
      <c r="D133" s="10" t="s">
        <v>204</v>
      </c>
      <c r="E133" s="10" t="s">
        <v>205</v>
      </c>
    </row>
    <row r="134" spans="1:157">
      <c r="A134" s="6" t="s">
        <v>256</v>
      </c>
      <c r="B134" s="6"/>
      <c r="C134" s="11">
        <f>DS129</f>
        <v>0</v>
      </c>
      <c r="D134" s="11">
        <f>DS130</f>
        <v>3046098.51</v>
      </c>
      <c r="E134" s="11">
        <f>D134-C134</f>
        <v>3046098.51</v>
      </c>
      <c r="G134" s="5"/>
    </row>
    <row r="135" spans="1:157">
      <c r="A135" s="6" t="s">
        <v>208</v>
      </c>
      <c r="B135" s="6"/>
      <c r="C135" s="11"/>
      <c r="D135" s="11"/>
      <c r="E135" s="11"/>
    </row>
    <row r="136" spans="1:157">
      <c r="A136" s="6" t="s">
        <v>257</v>
      </c>
      <c r="B136" s="6"/>
      <c r="C136" s="11"/>
      <c r="D136" s="11"/>
      <c r="E136" s="11">
        <f>-E134</f>
        <v>-3046098.51</v>
      </c>
    </row>
    <row r="137" spans="1:157">
      <c r="A137" s="6" t="s">
        <v>258</v>
      </c>
      <c r="B137" s="6"/>
      <c r="C137" s="11"/>
      <c r="D137" s="11"/>
      <c r="E137" s="11">
        <f>-E135</f>
        <v>0</v>
      </c>
    </row>
    <row r="138" spans="1:157">
      <c r="A138" s="6" t="s">
        <v>259</v>
      </c>
      <c r="B138" s="6"/>
      <c r="C138" s="11">
        <f>'4'!$B$11</f>
        <v>0</v>
      </c>
      <c r="D138" s="11">
        <f>'4'!$C$11</f>
        <v>11358.33</v>
      </c>
      <c r="E138" s="11">
        <f>C138-D138</f>
        <v>-11358.33</v>
      </c>
    </row>
    <row r="139" spans="1:157">
      <c r="A139" s="6" t="s">
        <v>213</v>
      </c>
      <c r="B139" s="6"/>
      <c r="C139" s="11">
        <f>'4'!$B$21</f>
        <v>0</v>
      </c>
      <c r="D139" s="11">
        <f>'4'!$C$21</f>
        <v>376890.03</v>
      </c>
      <c r="E139" s="11">
        <f>C139-D139</f>
        <v>-376890.03</v>
      </c>
    </row>
    <row r="140" spans="1:157">
      <c r="A140" s="6" t="s">
        <v>214</v>
      </c>
      <c r="B140" s="6"/>
      <c r="C140" s="11">
        <f>C138</f>
        <v>0</v>
      </c>
      <c r="D140" s="11">
        <f>D138</f>
        <v>11358.33</v>
      </c>
      <c r="E140" s="11">
        <f>D140-C140</f>
        <v>11358.33</v>
      </c>
    </row>
    <row r="141" spans="1:157">
      <c r="A141" s="6" t="s">
        <v>215</v>
      </c>
      <c r="B141" s="6"/>
      <c r="C141" s="11">
        <f>C139</f>
        <v>0</v>
      </c>
      <c r="D141" s="11">
        <f>D139</f>
        <v>376890.03</v>
      </c>
      <c r="E141" s="11">
        <f>D141-C141</f>
        <v>376890.03</v>
      </c>
    </row>
    <row r="142" spans="1:157">
      <c r="E142" s="5"/>
    </row>
    <row r="143" spans="1:157" ht="28.9">
      <c r="A143" s="6" t="s">
        <v>260</v>
      </c>
      <c r="B143" s="6"/>
      <c r="C143" s="6" t="s">
        <v>163</v>
      </c>
      <c r="D143" t="s">
        <v>164</v>
      </c>
      <c r="E143">
        <v>0</v>
      </c>
      <c r="F143">
        <v>10767</v>
      </c>
      <c r="G143" t="s">
        <v>165</v>
      </c>
      <c r="H143" t="s">
        <v>166</v>
      </c>
      <c r="I143" t="s">
        <v>167</v>
      </c>
      <c r="K143" t="s">
        <v>167</v>
      </c>
      <c r="O143" t="s">
        <v>168</v>
      </c>
      <c r="P143" t="s">
        <v>169</v>
      </c>
      <c r="Q143" t="s">
        <v>170</v>
      </c>
      <c r="R143" t="s">
        <v>167</v>
      </c>
      <c r="S143" t="s">
        <v>171</v>
      </c>
      <c r="U143" t="s">
        <v>167</v>
      </c>
      <c r="V143" t="s">
        <v>167</v>
      </c>
      <c r="W143" t="s">
        <v>172</v>
      </c>
      <c r="X143" t="s">
        <v>173</v>
      </c>
      <c r="Y143" t="s">
        <v>174</v>
      </c>
      <c r="Z143" t="s">
        <v>170</v>
      </c>
      <c r="AA143" t="s">
        <v>175</v>
      </c>
      <c r="AB143" t="s">
        <v>176</v>
      </c>
      <c r="AC143" t="s">
        <v>177</v>
      </c>
      <c r="AD143" t="s">
        <v>178</v>
      </c>
      <c r="AE143" t="s">
        <v>179</v>
      </c>
      <c r="AF143" s="3">
        <v>45580</v>
      </c>
      <c r="AG143" s="3">
        <v>45463</v>
      </c>
      <c r="AH143" s="3">
        <v>45473</v>
      </c>
      <c r="AL143" s="3">
        <v>45838.958333333336</v>
      </c>
      <c r="AM143" s="3">
        <v>45473</v>
      </c>
      <c r="AN143" t="s">
        <v>180</v>
      </c>
      <c r="AP143" s="3">
        <v>45473</v>
      </c>
      <c r="AS143" t="s">
        <v>181</v>
      </c>
      <c r="AT143" t="s">
        <v>182</v>
      </c>
      <c r="AV143" t="s">
        <v>182</v>
      </c>
      <c r="AW143" s="5">
        <v>3046098.51</v>
      </c>
      <c r="AX143" s="7">
        <f>ER143</f>
        <v>2732308.7399999998</v>
      </c>
      <c r="AY143">
        <v>0</v>
      </c>
      <c r="AZ143">
        <v>0</v>
      </c>
      <c r="BA143" t="s">
        <v>183</v>
      </c>
      <c r="BB143">
        <v>10</v>
      </c>
      <c r="BC143">
        <v>120</v>
      </c>
      <c r="BD143">
        <v>3650</v>
      </c>
      <c r="BE143" s="4">
        <f>BG143/365</f>
        <v>8.9698630136986299</v>
      </c>
      <c r="BF143" s="4">
        <f>BE143*12</f>
        <v>107.63835616438357</v>
      </c>
      <c r="BG143" s="4">
        <f>'5'!$B$28</f>
        <v>3274</v>
      </c>
      <c r="BI143" t="s">
        <v>184</v>
      </c>
      <c r="BN143">
        <v>1</v>
      </c>
      <c r="BO143">
        <v>0</v>
      </c>
      <c r="BP143">
        <v>0</v>
      </c>
      <c r="BY143" t="s">
        <v>185</v>
      </c>
      <c r="BZ143" t="s">
        <v>186</v>
      </c>
      <c r="CA143" t="s">
        <v>187</v>
      </c>
      <c r="CB143" t="s">
        <v>188</v>
      </c>
      <c r="CC143" t="s">
        <v>189</v>
      </c>
      <c r="CD143" t="s">
        <v>190</v>
      </c>
      <c r="CE143" t="s">
        <v>191</v>
      </c>
      <c r="CF143" t="s">
        <v>192</v>
      </c>
      <c r="CG143" t="s">
        <v>193</v>
      </c>
      <c r="CH143" t="s">
        <v>194</v>
      </c>
      <c r="CI143" t="s">
        <v>195</v>
      </c>
      <c r="CJ143" t="s">
        <v>196</v>
      </c>
      <c r="CK143" t="s">
        <v>197</v>
      </c>
      <c r="CN143" t="s">
        <v>198</v>
      </c>
      <c r="CU143">
        <v>-32.188583870550602</v>
      </c>
      <c r="CV143">
        <v>28.055331967751801</v>
      </c>
      <c r="CW143" s="1">
        <v>3046098.51</v>
      </c>
      <c r="CX143">
        <v>0</v>
      </c>
      <c r="CZ143" s="1"/>
      <c r="DA143" s="1">
        <v>1</v>
      </c>
      <c r="DB143" s="1">
        <v>3036924.77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 t="s">
        <v>187</v>
      </c>
      <c r="DR143" s="1">
        <f>'5'!$B$5</f>
        <v>3046098.51</v>
      </c>
      <c r="DS143" s="1">
        <f>'5'!$B$5</f>
        <v>3046098.51</v>
      </c>
      <c r="DT143" s="1">
        <v>0</v>
      </c>
      <c r="DU143" s="1">
        <f>'5'!$B$8</f>
        <v>1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f>DS143+DT143+DV143-DW143+DX143-DY143+DZ143+EA143+EB143</f>
        <v>3046098.51</v>
      </c>
      <c r="EE143" s="1">
        <f>'5'!$B$11</f>
        <v>9180.02</v>
      </c>
      <c r="EF143" s="1">
        <f>'5'!$B$11</f>
        <v>9180.02</v>
      </c>
      <c r="EG143" s="2">
        <f>'5'!$B$21</f>
        <v>304609.75</v>
      </c>
      <c r="EH143" s="1">
        <v>0</v>
      </c>
      <c r="EI143" s="1">
        <v>0</v>
      </c>
      <c r="EJ143" s="1">
        <v>0</v>
      </c>
      <c r="EK143" s="1">
        <f>EF143+EG143+EH143-EI143-EJ143</f>
        <v>313789.77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f>EM143+EN143-EO143-EP143</f>
        <v>0</v>
      </c>
      <c r="ER143" s="1">
        <f>ED143-EK143-EQ143</f>
        <v>2732308.7399999998</v>
      </c>
      <c r="ES143" s="1">
        <v>0</v>
      </c>
      <c r="ET143" s="1">
        <v>0</v>
      </c>
      <c r="EZ143" t="s">
        <v>170</v>
      </c>
      <c r="FA143" t="s">
        <v>199</v>
      </c>
    </row>
    <row r="144" spans="1:157">
      <c r="A144" s="6" t="s">
        <v>260</v>
      </c>
      <c r="B144" s="6"/>
      <c r="C144" s="6" t="s">
        <v>200</v>
      </c>
      <c r="D144" t="s">
        <v>164</v>
      </c>
      <c r="E144">
        <v>0</v>
      </c>
      <c r="F144">
        <v>10767</v>
      </c>
      <c r="G144" t="s">
        <v>165</v>
      </c>
      <c r="H144" t="s">
        <v>166</v>
      </c>
      <c r="I144" t="s">
        <v>167</v>
      </c>
      <c r="K144" t="s">
        <v>167</v>
      </c>
      <c r="O144" t="s">
        <v>168</v>
      </c>
      <c r="P144" t="s">
        <v>169</v>
      </c>
      <c r="Q144" t="s">
        <v>170</v>
      </c>
      <c r="R144" t="s">
        <v>167</v>
      </c>
      <c r="S144" t="s">
        <v>171</v>
      </c>
      <c r="U144" t="s">
        <v>167</v>
      </c>
      <c r="V144" t="s">
        <v>167</v>
      </c>
      <c r="W144" t="s">
        <v>172</v>
      </c>
      <c r="X144" t="s">
        <v>173</v>
      </c>
      <c r="Y144" t="s">
        <v>174</v>
      </c>
      <c r="Z144" t="s">
        <v>170</v>
      </c>
      <c r="AA144" t="s">
        <v>175</v>
      </c>
      <c r="AB144" t="s">
        <v>176</v>
      </c>
      <c r="AC144" t="s">
        <v>177</v>
      </c>
      <c r="AD144" t="s">
        <v>178</v>
      </c>
      <c r="AE144" t="s">
        <v>179</v>
      </c>
      <c r="AF144" s="3">
        <v>45580</v>
      </c>
      <c r="AG144" s="3">
        <v>45463</v>
      </c>
      <c r="AH144" s="3">
        <v>45473</v>
      </c>
      <c r="AL144" s="3">
        <v>45838.958333333336</v>
      </c>
      <c r="AM144" s="3">
        <v>45473</v>
      </c>
      <c r="AN144" t="s">
        <v>180</v>
      </c>
      <c r="AP144" s="3">
        <v>45473</v>
      </c>
      <c r="AS144" t="s">
        <v>181</v>
      </c>
      <c r="AT144" t="s">
        <v>182</v>
      </c>
      <c r="AV144" t="s">
        <v>182</v>
      </c>
      <c r="AW144" s="5">
        <v>3046098.51</v>
      </c>
      <c r="AX144" s="7">
        <f>ER144</f>
        <v>2763687.6199999996</v>
      </c>
      <c r="AY144">
        <v>0</v>
      </c>
      <c r="AZ144">
        <v>0</v>
      </c>
      <c r="BA144" t="s">
        <v>183</v>
      </c>
      <c r="BB144">
        <v>10</v>
      </c>
      <c r="BC144">
        <v>120</v>
      </c>
      <c r="BD144">
        <v>3650</v>
      </c>
      <c r="BE144" s="4">
        <f>BG144/365</f>
        <v>8.9698630136986299</v>
      </c>
      <c r="BF144" s="4">
        <f>BE144*12</f>
        <v>107.63835616438357</v>
      </c>
      <c r="BG144" s="4">
        <f>'5'!$C$28</f>
        <v>3274</v>
      </c>
      <c r="BI144" t="s">
        <v>184</v>
      </c>
      <c r="BN144">
        <v>1</v>
      </c>
      <c r="BO144">
        <v>0</v>
      </c>
      <c r="BP144">
        <v>0</v>
      </c>
      <c r="BY144" t="s">
        <v>185</v>
      </c>
      <c r="BZ144" t="s">
        <v>186</v>
      </c>
      <c r="CA144" t="s">
        <v>187</v>
      </c>
      <c r="CB144" t="s">
        <v>188</v>
      </c>
      <c r="CC144" t="s">
        <v>189</v>
      </c>
      <c r="CD144" t="s">
        <v>190</v>
      </c>
      <c r="CE144" t="s">
        <v>191</v>
      </c>
      <c r="CF144" t="s">
        <v>192</v>
      </c>
      <c r="CG144" t="s">
        <v>193</v>
      </c>
      <c r="CH144" t="s">
        <v>194</v>
      </c>
      <c r="CI144" t="s">
        <v>195</v>
      </c>
      <c r="CJ144" t="s">
        <v>196</v>
      </c>
      <c r="CK144" t="s">
        <v>197</v>
      </c>
      <c r="CN144" t="s">
        <v>198</v>
      </c>
      <c r="CU144">
        <v>-32.188583870550602</v>
      </c>
      <c r="CV144">
        <v>28.055331967751801</v>
      </c>
      <c r="CW144" s="1">
        <v>3046098.51</v>
      </c>
      <c r="CX144">
        <v>0</v>
      </c>
      <c r="CZ144" s="1"/>
      <c r="DA144" s="1">
        <v>1</v>
      </c>
      <c r="DB144" s="1">
        <v>3036924.77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 t="s">
        <v>187</v>
      </c>
      <c r="DR144" s="1">
        <f>'5'!$C$5</f>
        <v>3046098.51</v>
      </c>
      <c r="DS144" s="1">
        <f>'5'!$C$5</f>
        <v>3046098.51</v>
      </c>
      <c r="DT144" s="1">
        <v>0</v>
      </c>
      <c r="DU144" s="1">
        <f>'5'!$C$8</f>
        <v>304609.84999999998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f>DS144+DT144+DV144-DW144+DX144-DY144+DZ144+EA144+EB144</f>
        <v>3046098.51</v>
      </c>
      <c r="EE144" s="1">
        <f>'5'!$C$11</f>
        <v>8262.02</v>
      </c>
      <c r="EF144" s="1">
        <f>'5'!$C$11</f>
        <v>8262.02</v>
      </c>
      <c r="EG144" s="2">
        <f>'5'!$C$21</f>
        <v>274148.87</v>
      </c>
      <c r="EH144" s="1">
        <v>0</v>
      </c>
      <c r="EI144" s="1">
        <v>0</v>
      </c>
      <c r="EJ144" s="1">
        <v>0</v>
      </c>
      <c r="EK144" s="1">
        <f>EF144+EG144+EH144-EI144-EJ144</f>
        <v>282410.89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f>EM144+EN144-EO144-EP144</f>
        <v>0</v>
      </c>
      <c r="ER144" s="1">
        <f>ED144-EK144-EQ144</f>
        <v>2763687.6199999996</v>
      </c>
      <c r="ES144" s="1">
        <v>0</v>
      </c>
      <c r="ET144" s="1">
        <v>0</v>
      </c>
      <c r="EZ144" t="s">
        <v>170</v>
      </c>
      <c r="FA144" t="s">
        <v>199</v>
      </c>
    </row>
    <row r="145" spans="1:157" ht="15" thickBot="1">
      <c r="A145" s="6" t="s">
        <v>260</v>
      </c>
      <c r="B145" s="6"/>
      <c r="C145" s="1" t="s">
        <v>201</v>
      </c>
      <c r="CZ145" s="1"/>
      <c r="DS145" s="8">
        <f>DS143-DS144</f>
        <v>0</v>
      </c>
      <c r="ED145" s="8">
        <f>ED143-ED144</f>
        <v>0</v>
      </c>
      <c r="EE145" s="8">
        <f t="shared" ref="EE145" si="21">EE143-EE144</f>
        <v>918</v>
      </c>
      <c r="EF145" s="8">
        <f t="shared" ref="EF145" si="22">EF143-EF144</f>
        <v>918</v>
      </c>
      <c r="EG145" s="8">
        <f>EG143-EG144</f>
        <v>30460.880000000005</v>
      </c>
      <c r="EK145" s="8">
        <f>EK143-EK144</f>
        <v>31378.880000000005</v>
      </c>
      <c r="ER145" s="8">
        <f>ER143-ER144</f>
        <v>-31378.879999999888</v>
      </c>
    </row>
    <row r="146" spans="1:157" ht="15" thickTop="1">
      <c r="A146" s="5"/>
      <c r="B146" s="5"/>
      <c r="C146" s="5"/>
    </row>
    <row r="147" spans="1:157">
      <c r="A147" s="9" t="s">
        <v>202</v>
      </c>
      <c r="B147" s="9"/>
      <c r="C147" s="9" t="s">
        <v>203</v>
      </c>
      <c r="D147" s="10" t="s">
        <v>204</v>
      </c>
      <c r="E147" s="10" t="s">
        <v>205</v>
      </c>
    </row>
    <row r="148" spans="1:157">
      <c r="A148" s="6" t="s">
        <v>206</v>
      </c>
      <c r="B148" s="9"/>
      <c r="C148" s="9"/>
      <c r="D148" s="10"/>
      <c r="E148" s="10"/>
    </row>
    <row r="149" spans="1:157">
      <c r="A149" s="6" t="s">
        <v>207</v>
      </c>
      <c r="B149" s="6"/>
      <c r="C149" s="11">
        <f>DS143</f>
        <v>3046098.51</v>
      </c>
      <c r="D149" s="11">
        <f>DS144</f>
        <v>3046098.51</v>
      </c>
      <c r="E149" s="11">
        <f>D149-C149</f>
        <v>0</v>
      </c>
      <c r="G149" s="5"/>
    </row>
    <row r="150" spans="1:157">
      <c r="A150" s="6" t="s">
        <v>208</v>
      </c>
      <c r="B150" s="6"/>
      <c r="C150" s="11"/>
      <c r="D150" s="11"/>
      <c r="E150" s="11"/>
    </row>
    <row r="151" spans="1:157">
      <c r="A151" s="6" t="s">
        <v>209</v>
      </c>
      <c r="B151" s="6"/>
      <c r="C151" s="11"/>
      <c r="D151" s="11"/>
      <c r="E151" s="11">
        <f>-E149</f>
        <v>0</v>
      </c>
    </row>
    <row r="152" spans="1:157">
      <c r="A152" s="6" t="s">
        <v>210</v>
      </c>
      <c r="B152" s="6"/>
      <c r="C152" s="11"/>
      <c r="D152" s="11"/>
      <c r="E152" s="11">
        <f>-E150</f>
        <v>0</v>
      </c>
    </row>
    <row r="153" spans="1:157">
      <c r="A153" s="6" t="s">
        <v>211</v>
      </c>
      <c r="B153" s="6"/>
      <c r="C153" s="11"/>
      <c r="D153" s="11"/>
      <c r="E153" s="11"/>
    </row>
    <row r="154" spans="1:157">
      <c r="A154" s="6" t="s">
        <v>212</v>
      </c>
      <c r="B154" s="6"/>
      <c r="C154" s="11">
        <f>'5'!$B$11</f>
        <v>9180.02</v>
      </c>
      <c r="D154" s="11">
        <f>'5'!$C$11</f>
        <v>8262.02</v>
      </c>
      <c r="E154" s="11">
        <f>C154-D154</f>
        <v>918</v>
      </c>
    </row>
    <row r="155" spans="1:157">
      <c r="A155" s="6" t="s">
        <v>213</v>
      </c>
      <c r="B155" s="6"/>
      <c r="C155" s="11">
        <f>'5'!$B$21</f>
        <v>304609.75</v>
      </c>
      <c r="D155" s="11">
        <f>'5'!$C$21</f>
        <v>274148.87</v>
      </c>
      <c r="E155" s="11">
        <f>C155-D155</f>
        <v>30460.880000000005</v>
      </c>
    </row>
    <row r="156" spans="1:157">
      <c r="A156" s="6" t="s">
        <v>214</v>
      </c>
      <c r="B156" s="6"/>
      <c r="C156" s="11">
        <f>C154</f>
        <v>9180.02</v>
      </c>
      <c r="D156" s="11">
        <f>D154</f>
        <v>8262.02</v>
      </c>
      <c r="E156" s="11">
        <f>D156-C156</f>
        <v>-918</v>
      </c>
    </row>
    <row r="157" spans="1:157">
      <c r="A157" s="6" t="s">
        <v>215</v>
      </c>
      <c r="B157" s="6"/>
      <c r="C157" s="11">
        <f>C155</f>
        <v>304609.75</v>
      </c>
      <c r="D157" s="11">
        <f>D155</f>
        <v>274148.87</v>
      </c>
      <c r="E157" s="11">
        <f>D157-C157</f>
        <v>-30460.880000000005</v>
      </c>
    </row>
    <row r="159" spans="1:157" ht="28.9">
      <c r="A159" s="6" t="s">
        <v>261</v>
      </c>
      <c r="B159" s="12"/>
      <c r="C159" s="6" t="s">
        <v>163</v>
      </c>
      <c r="D159" t="s">
        <v>164</v>
      </c>
      <c r="E159">
        <v>0</v>
      </c>
      <c r="F159">
        <v>10767</v>
      </c>
      <c r="G159" t="s">
        <v>165</v>
      </c>
      <c r="H159" t="s">
        <v>166</v>
      </c>
      <c r="I159" t="s">
        <v>167</v>
      </c>
      <c r="K159" t="s">
        <v>167</v>
      </c>
      <c r="O159" t="s">
        <v>168</v>
      </c>
      <c r="P159" t="s">
        <v>169</v>
      </c>
      <c r="Q159" t="s">
        <v>170</v>
      </c>
      <c r="R159" t="s">
        <v>167</v>
      </c>
      <c r="S159" t="s">
        <v>171</v>
      </c>
      <c r="U159" t="s">
        <v>167</v>
      </c>
      <c r="V159" t="s">
        <v>167</v>
      </c>
      <c r="W159" t="s">
        <v>172</v>
      </c>
      <c r="X159" t="s">
        <v>173</v>
      </c>
      <c r="Y159" t="s">
        <v>174</v>
      </c>
      <c r="Z159" t="s">
        <v>170</v>
      </c>
      <c r="AA159" t="s">
        <v>175</v>
      </c>
      <c r="AB159" t="s">
        <v>176</v>
      </c>
      <c r="AC159" t="s">
        <v>177</v>
      </c>
      <c r="AD159" t="s">
        <v>178</v>
      </c>
      <c r="AE159" t="s">
        <v>179</v>
      </c>
      <c r="AF159" s="3">
        <v>45580</v>
      </c>
      <c r="AG159" s="3">
        <v>45463</v>
      </c>
      <c r="AH159" s="3">
        <v>45473</v>
      </c>
      <c r="AL159" s="3">
        <v>45838.958333333336</v>
      </c>
      <c r="AM159" s="3">
        <v>45473</v>
      </c>
      <c r="AN159" t="s">
        <v>180</v>
      </c>
      <c r="AP159" s="3">
        <v>45473</v>
      </c>
      <c r="AS159" t="s">
        <v>181</v>
      </c>
      <c r="AT159" t="s">
        <v>182</v>
      </c>
      <c r="AV159" t="s">
        <v>182</v>
      </c>
      <c r="AW159" s="5">
        <v>3046098.51</v>
      </c>
      <c r="AX159" s="7">
        <f>ER159</f>
        <v>2783825.7899999996</v>
      </c>
      <c r="AY159">
        <v>0</v>
      </c>
      <c r="AZ159">
        <v>0</v>
      </c>
      <c r="BA159" t="s">
        <v>183</v>
      </c>
      <c r="BB159">
        <v>10</v>
      </c>
      <c r="BC159">
        <v>120</v>
      </c>
      <c r="BD159">
        <v>3650</v>
      </c>
      <c r="BE159" s="4">
        <f>BG159/365</f>
        <v>8.9698630136986299</v>
      </c>
      <c r="BF159" s="4">
        <f>BE159*12</f>
        <v>107.63835616438357</v>
      </c>
      <c r="BG159" s="4">
        <f>'5'!$D$28</f>
        <v>3274</v>
      </c>
      <c r="BI159" t="s">
        <v>184</v>
      </c>
      <c r="BN159">
        <v>1</v>
      </c>
      <c r="BO159">
        <v>0</v>
      </c>
      <c r="BP159">
        <v>0</v>
      </c>
      <c r="BY159" t="s">
        <v>185</v>
      </c>
      <c r="BZ159" t="s">
        <v>186</v>
      </c>
      <c r="CA159" t="s">
        <v>187</v>
      </c>
      <c r="CB159" t="s">
        <v>188</v>
      </c>
      <c r="CC159" t="s">
        <v>189</v>
      </c>
      <c r="CD159" t="s">
        <v>190</v>
      </c>
      <c r="CE159" t="s">
        <v>191</v>
      </c>
      <c r="CF159" t="s">
        <v>192</v>
      </c>
      <c r="CG159" t="s">
        <v>193</v>
      </c>
      <c r="CH159" t="s">
        <v>194</v>
      </c>
      <c r="CI159" t="s">
        <v>195</v>
      </c>
      <c r="CJ159" t="s">
        <v>196</v>
      </c>
      <c r="CK159" t="s">
        <v>197</v>
      </c>
      <c r="CN159" t="s">
        <v>198</v>
      </c>
      <c r="CU159">
        <v>-32.188583870550602</v>
      </c>
      <c r="CV159">
        <v>28.055331967751801</v>
      </c>
      <c r="CW159" s="1">
        <v>3046098.51</v>
      </c>
      <c r="CX159">
        <v>0</v>
      </c>
      <c r="CZ159" s="1"/>
      <c r="DA159" s="1">
        <v>1</v>
      </c>
      <c r="DB159" s="1">
        <v>3036924.77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 t="s">
        <v>187</v>
      </c>
      <c r="DR159" s="1">
        <f>'5'!$D$5</f>
        <v>3046098.51</v>
      </c>
      <c r="DS159" s="1">
        <f>'5'!$D$5</f>
        <v>3046098.51</v>
      </c>
      <c r="DT159" s="1">
        <v>0</v>
      </c>
      <c r="DU159" s="1">
        <f>'5'!$D$8</f>
        <v>500100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f>DS159+DT159+DV159-DW159+DX159-DY159+DZ159+EA159+EB159</f>
        <v>3046098.51</v>
      </c>
      <c r="EE159" s="1">
        <f>'5'!$D$11</f>
        <v>7672.87</v>
      </c>
      <c r="EF159" s="1">
        <f>'5'!$D$11</f>
        <v>7672.87</v>
      </c>
      <c r="EG159" s="2">
        <f>'5'!$D$21</f>
        <v>254599.85</v>
      </c>
      <c r="EH159" s="1">
        <v>0</v>
      </c>
      <c r="EI159" s="1">
        <v>0</v>
      </c>
      <c r="EJ159" s="1">
        <v>0</v>
      </c>
      <c r="EK159" s="1">
        <f>EF159+EG159+EH159-EI159-EJ159</f>
        <v>262272.72000000003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f>EM159+EN159-EO159-EP159</f>
        <v>0</v>
      </c>
      <c r="ER159" s="1">
        <f>ED159-EK159-EQ159</f>
        <v>2783825.7899999996</v>
      </c>
      <c r="ES159" s="1">
        <v>0</v>
      </c>
      <c r="ET159" s="1">
        <v>0</v>
      </c>
      <c r="EZ159" t="s">
        <v>170</v>
      </c>
      <c r="FA159" t="s">
        <v>199</v>
      </c>
    </row>
    <row r="160" spans="1:157">
      <c r="A160" s="6" t="s">
        <v>261</v>
      </c>
      <c r="B160" s="6"/>
      <c r="C160" s="6" t="s">
        <v>200</v>
      </c>
      <c r="D160" t="s">
        <v>164</v>
      </c>
      <c r="E160">
        <v>0</v>
      </c>
      <c r="F160">
        <v>10767</v>
      </c>
      <c r="G160" t="s">
        <v>165</v>
      </c>
      <c r="H160" t="s">
        <v>166</v>
      </c>
      <c r="I160" t="s">
        <v>167</v>
      </c>
      <c r="K160" t="s">
        <v>167</v>
      </c>
      <c r="O160" t="s">
        <v>168</v>
      </c>
      <c r="P160" t="s">
        <v>169</v>
      </c>
      <c r="Q160" t="s">
        <v>170</v>
      </c>
      <c r="R160" t="s">
        <v>167</v>
      </c>
      <c r="S160" t="s">
        <v>171</v>
      </c>
      <c r="U160" t="s">
        <v>167</v>
      </c>
      <c r="V160" t="s">
        <v>167</v>
      </c>
      <c r="W160" t="s">
        <v>172</v>
      </c>
      <c r="X160" t="s">
        <v>173</v>
      </c>
      <c r="Y160" t="s">
        <v>174</v>
      </c>
      <c r="Z160" t="s">
        <v>170</v>
      </c>
      <c r="AA160" t="s">
        <v>175</v>
      </c>
      <c r="AB160" t="s">
        <v>176</v>
      </c>
      <c r="AC160" t="s">
        <v>177</v>
      </c>
      <c r="AD160" t="s">
        <v>178</v>
      </c>
      <c r="AE160" t="s">
        <v>179</v>
      </c>
      <c r="AF160" s="3">
        <v>45580</v>
      </c>
      <c r="AG160" s="3">
        <v>45463</v>
      </c>
      <c r="AH160" s="3">
        <v>45473</v>
      </c>
      <c r="AL160" s="3">
        <v>45838.958333333336</v>
      </c>
      <c r="AM160" s="3">
        <v>45473</v>
      </c>
      <c r="AN160" t="s">
        <v>180</v>
      </c>
      <c r="AP160" s="3">
        <v>45473</v>
      </c>
      <c r="AS160" t="s">
        <v>181</v>
      </c>
      <c r="AT160" t="s">
        <v>182</v>
      </c>
      <c r="AV160" t="s">
        <v>182</v>
      </c>
      <c r="AW160" s="5">
        <v>3046098.51</v>
      </c>
      <c r="AX160" s="7">
        <f>ER160</f>
        <v>2763687.6199999996</v>
      </c>
      <c r="AY160">
        <v>0</v>
      </c>
      <c r="AZ160">
        <v>0</v>
      </c>
      <c r="BA160" t="s">
        <v>183</v>
      </c>
      <c r="BB160">
        <v>10</v>
      </c>
      <c r="BC160">
        <v>120</v>
      </c>
      <c r="BD160">
        <v>3650</v>
      </c>
      <c r="BE160" s="4">
        <f>BG160/365</f>
        <v>8.9698630136986299</v>
      </c>
      <c r="BF160" s="4">
        <f>BE160*12</f>
        <v>107.63835616438357</v>
      </c>
      <c r="BG160" s="4">
        <f>'5'!$C$28</f>
        <v>3274</v>
      </c>
      <c r="BI160" t="s">
        <v>184</v>
      </c>
      <c r="BN160">
        <v>1</v>
      </c>
      <c r="BO160">
        <v>0</v>
      </c>
      <c r="BP160">
        <v>0</v>
      </c>
      <c r="BY160" t="s">
        <v>185</v>
      </c>
      <c r="BZ160" t="s">
        <v>186</v>
      </c>
      <c r="CA160" t="s">
        <v>187</v>
      </c>
      <c r="CB160" t="s">
        <v>188</v>
      </c>
      <c r="CC160" t="s">
        <v>189</v>
      </c>
      <c r="CD160" t="s">
        <v>190</v>
      </c>
      <c r="CE160" t="s">
        <v>191</v>
      </c>
      <c r="CF160" t="s">
        <v>192</v>
      </c>
      <c r="CG160" t="s">
        <v>193</v>
      </c>
      <c r="CH160" t="s">
        <v>194</v>
      </c>
      <c r="CI160" t="s">
        <v>195</v>
      </c>
      <c r="CJ160" t="s">
        <v>196</v>
      </c>
      <c r="CK160" t="s">
        <v>197</v>
      </c>
      <c r="CN160" t="s">
        <v>198</v>
      </c>
      <c r="CU160">
        <v>-32.188583870550602</v>
      </c>
      <c r="CV160">
        <v>28.055331967751801</v>
      </c>
      <c r="CW160" s="1">
        <v>3046098.51</v>
      </c>
      <c r="CX160">
        <v>0</v>
      </c>
      <c r="CZ160" s="1"/>
      <c r="DA160" s="1">
        <v>1</v>
      </c>
      <c r="DB160" s="1">
        <v>3036924.77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 t="s">
        <v>187</v>
      </c>
      <c r="DR160" s="1">
        <f>'5'!$C$5</f>
        <v>3046098.51</v>
      </c>
      <c r="DS160" s="1">
        <f>'5'!$C$5</f>
        <v>3046098.51</v>
      </c>
      <c r="DT160" s="1">
        <v>0</v>
      </c>
      <c r="DU160" s="1">
        <f>'5'!$C$8</f>
        <v>304609.84999999998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f>DS160+DT160+DV160-DW160+DX160-DY160+DZ160+EA160+EB160</f>
        <v>3046098.51</v>
      </c>
      <c r="EE160" s="1">
        <f>'5'!$C$11</f>
        <v>8262.02</v>
      </c>
      <c r="EF160" s="1">
        <f>'5'!$C$11</f>
        <v>8262.02</v>
      </c>
      <c r="EG160" s="2">
        <f>'5'!$C$21</f>
        <v>274148.87</v>
      </c>
      <c r="EH160" s="1">
        <v>0</v>
      </c>
      <c r="EI160" s="1">
        <v>0</v>
      </c>
      <c r="EJ160" s="1">
        <v>0</v>
      </c>
      <c r="EK160" s="1">
        <f>EF160+EG160+EH160-EI160-EJ160</f>
        <v>282410.89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f>EM160+EN160-EO160-EP160</f>
        <v>0</v>
      </c>
      <c r="ER160" s="1">
        <f>ED160-EK160-EQ160</f>
        <v>2763687.6199999996</v>
      </c>
      <c r="ES160" s="1">
        <v>0</v>
      </c>
      <c r="ET160" s="1">
        <v>0</v>
      </c>
      <c r="EZ160" t="s">
        <v>170</v>
      </c>
      <c r="FA160" t="s">
        <v>199</v>
      </c>
    </row>
    <row r="161" spans="1:157" ht="15" thickBot="1">
      <c r="A161" s="6" t="s">
        <v>261</v>
      </c>
      <c r="B161" s="6"/>
      <c r="C161" s="1" t="s">
        <v>201</v>
      </c>
      <c r="CZ161" s="1"/>
      <c r="DS161" s="8">
        <f>DS159-DS160</f>
        <v>0</v>
      </c>
      <c r="ED161" s="8">
        <f>ED159-ED160</f>
        <v>0</v>
      </c>
      <c r="EE161" s="8">
        <f t="shared" ref="EE161:EF161" si="23">EE159-EE160</f>
        <v>-589.15000000000055</v>
      </c>
      <c r="EF161" s="8">
        <f t="shared" si="23"/>
        <v>-589.15000000000055</v>
      </c>
      <c r="EG161" s="8">
        <f>EG159-EG160</f>
        <v>-19549.01999999999</v>
      </c>
      <c r="EK161" s="8">
        <f>EK159-EK160</f>
        <v>-20138.169999999984</v>
      </c>
      <c r="ER161" s="8">
        <f>ER159-ER160</f>
        <v>20138.169999999925</v>
      </c>
    </row>
    <row r="162" spans="1:157" ht="15" thickTop="1">
      <c r="A162" s="5"/>
      <c r="B162" s="5"/>
      <c r="C162" s="5"/>
    </row>
    <row r="163" spans="1:157">
      <c r="A163" s="9" t="s">
        <v>202</v>
      </c>
      <c r="B163" s="9"/>
      <c r="C163" s="9" t="s">
        <v>203</v>
      </c>
      <c r="D163" s="10" t="s">
        <v>204</v>
      </c>
      <c r="E163" s="10" t="s">
        <v>205</v>
      </c>
    </row>
    <row r="164" spans="1:157">
      <c r="A164" s="6" t="s">
        <v>206</v>
      </c>
      <c r="B164" s="9"/>
      <c r="C164" s="9"/>
      <c r="D164" s="10"/>
      <c r="E164" s="10"/>
    </row>
    <row r="165" spans="1:157">
      <c r="A165" s="6" t="s">
        <v>207</v>
      </c>
      <c r="B165" s="6"/>
      <c r="C165" s="11">
        <f>DS159</f>
        <v>3046098.51</v>
      </c>
      <c r="D165" s="11">
        <f>DS160</f>
        <v>3046098.51</v>
      </c>
      <c r="E165" s="11">
        <f>D165-C165</f>
        <v>0</v>
      </c>
      <c r="G165" s="5"/>
    </row>
    <row r="166" spans="1:157">
      <c r="A166" s="6" t="s">
        <v>208</v>
      </c>
      <c r="B166" s="6"/>
      <c r="C166" s="11"/>
      <c r="D166" s="11"/>
      <c r="E166" s="11"/>
    </row>
    <row r="167" spans="1:157">
      <c r="A167" s="6" t="s">
        <v>209</v>
      </c>
      <c r="B167" s="6"/>
      <c r="C167" s="11"/>
      <c r="D167" s="11"/>
      <c r="E167" s="11">
        <f>-E165</f>
        <v>0</v>
      </c>
    </row>
    <row r="168" spans="1:157">
      <c r="A168" s="6" t="s">
        <v>210</v>
      </c>
      <c r="B168" s="6"/>
      <c r="C168" s="11"/>
      <c r="D168" s="11"/>
      <c r="E168" s="11">
        <f>-E166</f>
        <v>0</v>
      </c>
    </row>
    <row r="169" spans="1:157">
      <c r="A169" s="6" t="s">
        <v>211</v>
      </c>
      <c r="B169" s="6"/>
      <c r="C169" s="11"/>
      <c r="D169" s="11"/>
      <c r="E169" s="11"/>
    </row>
    <row r="170" spans="1:157">
      <c r="A170" s="6" t="s">
        <v>212</v>
      </c>
      <c r="B170" s="6"/>
      <c r="C170" s="11">
        <f>'5'!$D$11</f>
        <v>7672.87</v>
      </c>
      <c r="D170" s="11">
        <f>'5'!$C$11</f>
        <v>8262.02</v>
      </c>
      <c r="E170" s="11">
        <f>C170-D170</f>
        <v>-589.15000000000055</v>
      </c>
    </row>
    <row r="171" spans="1:157">
      <c r="A171" s="6" t="s">
        <v>213</v>
      </c>
      <c r="B171" s="6"/>
      <c r="C171" s="11">
        <f>'5'!$D$21</f>
        <v>254599.85</v>
      </c>
      <c r="D171" s="11">
        <f>'5'!$C$21</f>
        <v>274148.87</v>
      </c>
      <c r="E171" s="11">
        <f>C171-D171</f>
        <v>-19549.01999999999</v>
      </c>
    </row>
    <row r="172" spans="1:157">
      <c r="A172" s="6" t="s">
        <v>214</v>
      </c>
      <c r="B172" s="6"/>
      <c r="C172" s="11">
        <f>C170</f>
        <v>7672.87</v>
      </c>
      <c r="D172" s="11">
        <f>D170</f>
        <v>8262.02</v>
      </c>
      <c r="E172" s="11">
        <f>D172-C172</f>
        <v>589.15000000000055</v>
      </c>
    </row>
    <row r="173" spans="1:157">
      <c r="A173" s="6" t="s">
        <v>215</v>
      </c>
      <c r="B173" s="6"/>
      <c r="C173" s="11">
        <f>C171</f>
        <v>254599.85</v>
      </c>
      <c r="D173" s="11">
        <f>D171</f>
        <v>274148.87</v>
      </c>
      <c r="E173" s="11">
        <f>D173-C173</f>
        <v>19549.01999999999</v>
      </c>
    </row>
    <row r="174" spans="1:157">
      <c r="E174" s="5"/>
      <c r="EM174" s="5"/>
    </row>
    <row r="175" spans="1:157" ht="28.9">
      <c r="A175" s="6" t="s">
        <v>262</v>
      </c>
      <c r="B175" s="6"/>
      <c r="C175" s="6" t="s">
        <v>163</v>
      </c>
      <c r="D175" t="s">
        <v>164</v>
      </c>
      <c r="E175">
        <v>0</v>
      </c>
      <c r="F175">
        <v>10767</v>
      </c>
      <c r="G175" t="s">
        <v>165</v>
      </c>
      <c r="H175" t="s">
        <v>166</v>
      </c>
      <c r="I175" t="s">
        <v>167</v>
      </c>
      <c r="K175" t="s">
        <v>167</v>
      </c>
      <c r="O175" t="s">
        <v>168</v>
      </c>
      <c r="P175" t="s">
        <v>169</v>
      </c>
      <c r="Q175" t="s">
        <v>170</v>
      </c>
      <c r="R175" t="s">
        <v>167</v>
      </c>
      <c r="S175" t="s">
        <v>171</v>
      </c>
      <c r="U175" t="s">
        <v>167</v>
      </c>
      <c r="V175" t="s">
        <v>167</v>
      </c>
      <c r="W175" t="s">
        <v>172</v>
      </c>
      <c r="X175" t="s">
        <v>173</v>
      </c>
      <c r="Y175" t="s">
        <v>174</v>
      </c>
      <c r="Z175" t="s">
        <v>170</v>
      </c>
      <c r="AA175" t="s">
        <v>175</v>
      </c>
      <c r="AB175" t="s">
        <v>176</v>
      </c>
      <c r="AC175" t="s">
        <v>177</v>
      </c>
      <c r="AD175" t="s">
        <v>178</v>
      </c>
      <c r="AE175" t="s">
        <v>179</v>
      </c>
      <c r="AF175" s="3">
        <v>45580</v>
      </c>
      <c r="AG175" s="3">
        <v>45306</v>
      </c>
      <c r="AH175" s="3">
        <v>45473</v>
      </c>
      <c r="AL175" s="3">
        <v>45838.958333333336</v>
      </c>
      <c r="AM175" s="3">
        <v>45473</v>
      </c>
      <c r="AN175" t="s">
        <v>180</v>
      </c>
      <c r="AP175" s="3">
        <v>45473</v>
      </c>
      <c r="AS175" t="s">
        <v>181</v>
      </c>
      <c r="AT175" t="s">
        <v>182</v>
      </c>
      <c r="AV175" t="s">
        <v>182</v>
      </c>
      <c r="AW175" s="5">
        <v>3046098.51</v>
      </c>
      <c r="AX175" s="7">
        <f>ER175</f>
        <v>2601284.8199999998</v>
      </c>
      <c r="AY175">
        <v>0</v>
      </c>
      <c r="AZ175">
        <v>0</v>
      </c>
      <c r="BA175" t="s">
        <v>183</v>
      </c>
      <c r="BB175">
        <v>10</v>
      </c>
      <c r="BC175">
        <v>120</v>
      </c>
      <c r="BD175">
        <v>3650</v>
      </c>
      <c r="BE175" s="4">
        <f>BG175/365</f>
        <v>8.5397260273972595</v>
      </c>
      <c r="BF175" s="4">
        <f>BE175*12</f>
        <v>102.47671232876712</v>
      </c>
      <c r="BG175" s="4">
        <f>'6'!$B$37</f>
        <v>3117</v>
      </c>
      <c r="BI175" t="s">
        <v>184</v>
      </c>
      <c r="BN175">
        <v>1</v>
      </c>
      <c r="BO175">
        <v>0</v>
      </c>
      <c r="BP175">
        <v>0</v>
      </c>
      <c r="BY175" t="s">
        <v>185</v>
      </c>
      <c r="BZ175" t="s">
        <v>186</v>
      </c>
      <c r="CA175" t="s">
        <v>187</v>
      </c>
      <c r="CB175" t="s">
        <v>188</v>
      </c>
      <c r="CC175" t="s">
        <v>189</v>
      </c>
      <c r="CD175" t="s">
        <v>190</v>
      </c>
      <c r="CE175" t="s">
        <v>191</v>
      </c>
      <c r="CF175" t="s">
        <v>192</v>
      </c>
      <c r="CG175" t="s">
        <v>193</v>
      </c>
      <c r="CH175" t="s">
        <v>194</v>
      </c>
      <c r="CI175" t="s">
        <v>195</v>
      </c>
      <c r="CJ175" t="s">
        <v>196</v>
      </c>
      <c r="CK175" t="s">
        <v>197</v>
      </c>
      <c r="CN175" t="s">
        <v>198</v>
      </c>
      <c r="CU175">
        <v>-32.188583870550602</v>
      </c>
      <c r="CV175">
        <v>28.055331967751801</v>
      </c>
      <c r="CW175" s="1">
        <v>3046098.51</v>
      </c>
      <c r="CX175">
        <v>0</v>
      </c>
      <c r="CZ175" s="1"/>
      <c r="DA175" s="1">
        <v>1</v>
      </c>
      <c r="DB175" s="1">
        <v>3036924.77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 t="s">
        <v>187</v>
      </c>
      <c r="DR175" s="1">
        <f>'6'!$B$5</f>
        <v>3046098.51</v>
      </c>
      <c r="DS175" s="1">
        <f>'6'!$B$5</f>
        <v>3046098.51</v>
      </c>
      <c r="DT175" s="1">
        <v>0</v>
      </c>
      <c r="DU175" s="1">
        <v>1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f>DS175+DT175+DV175-DW175+DX175-DY175+DZ175+EA175+EB175</f>
        <v>3046098.51</v>
      </c>
      <c r="EE175" s="1">
        <f>'6'!$B$22</f>
        <v>140203.94</v>
      </c>
      <c r="EF175" s="1">
        <f>'6'!$B$22</f>
        <v>140203.94</v>
      </c>
      <c r="EG175" s="2">
        <f>'6'!$B$28</f>
        <v>304609.75</v>
      </c>
      <c r="EH175" s="1">
        <v>0</v>
      </c>
      <c r="EI175" s="1">
        <v>0</v>
      </c>
      <c r="EJ175" s="1">
        <v>0</v>
      </c>
      <c r="EK175" s="1">
        <f>EF175+EG175+EH175-EI175-EJ175</f>
        <v>444813.69</v>
      </c>
      <c r="EL175" s="1">
        <f>'6'!$B$23</f>
        <v>0</v>
      </c>
      <c r="EM175" s="1">
        <f>'6'!$B$23</f>
        <v>0</v>
      </c>
      <c r="EN175" s="1">
        <v>0</v>
      </c>
      <c r="EO175" s="1">
        <v>0</v>
      </c>
      <c r="EP175" s="1">
        <v>0</v>
      </c>
      <c r="EQ175" s="1">
        <f>EM175+EN175-EO175-EP175</f>
        <v>0</v>
      </c>
      <c r="ER175" s="1">
        <f>ED175-EK175-EQ175</f>
        <v>2601284.8199999998</v>
      </c>
      <c r="ES175" s="1">
        <v>0</v>
      </c>
      <c r="ET175" s="1">
        <v>0</v>
      </c>
      <c r="EZ175" t="s">
        <v>170</v>
      </c>
      <c r="FA175" t="s">
        <v>199</v>
      </c>
    </row>
    <row r="176" spans="1:157" ht="28.9">
      <c r="A176" s="6" t="s">
        <v>262</v>
      </c>
      <c r="B176" s="6"/>
      <c r="C176" s="6" t="s">
        <v>200</v>
      </c>
      <c r="D176" t="s">
        <v>164</v>
      </c>
      <c r="E176">
        <v>0</v>
      </c>
      <c r="F176">
        <v>10767</v>
      </c>
      <c r="G176" t="s">
        <v>165</v>
      </c>
      <c r="H176" t="s">
        <v>166</v>
      </c>
      <c r="I176" t="s">
        <v>167</v>
      </c>
      <c r="K176" t="s">
        <v>167</v>
      </c>
      <c r="O176" t="s">
        <v>168</v>
      </c>
      <c r="P176" t="s">
        <v>169</v>
      </c>
      <c r="Q176" t="s">
        <v>170</v>
      </c>
      <c r="R176" t="s">
        <v>167</v>
      </c>
      <c r="S176" t="s">
        <v>171</v>
      </c>
      <c r="U176" t="s">
        <v>167</v>
      </c>
      <c r="V176" t="s">
        <v>167</v>
      </c>
      <c r="W176" t="s">
        <v>172</v>
      </c>
      <c r="X176" t="s">
        <v>173</v>
      </c>
      <c r="Y176" t="s">
        <v>174</v>
      </c>
      <c r="Z176" t="s">
        <v>170</v>
      </c>
      <c r="AA176" t="s">
        <v>175</v>
      </c>
      <c r="AB176" t="s">
        <v>176</v>
      </c>
      <c r="AC176" t="s">
        <v>177</v>
      </c>
      <c r="AD176" t="s">
        <v>178</v>
      </c>
      <c r="AE176" t="s">
        <v>179</v>
      </c>
      <c r="AF176" s="3">
        <v>45580</v>
      </c>
      <c r="AG176" s="3">
        <v>45306</v>
      </c>
      <c r="AH176" s="3">
        <v>45473</v>
      </c>
      <c r="AL176" s="3">
        <v>45838.958333333336</v>
      </c>
      <c r="AM176" s="3">
        <v>45473</v>
      </c>
      <c r="AN176" t="s">
        <v>180</v>
      </c>
      <c r="AP176" s="3">
        <v>45473</v>
      </c>
      <c r="AS176" t="s">
        <v>181</v>
      </c>
      <c r="AT176" t="s">
        <v>182</v>
      </c>
      <c r="AV176" t="s">
        <v>182</v>
      </c>
      <c r="AW176" s="5">
        <v>3046098.51</v>
      </c>
      <c r="AX176" s="7">
        <f>ER176</f>
        <v>583562.16000000015</v>
      </c>
      <c r="AY176">
        <v>0</v>
      </c>
      <c r="AZ176">
        <v>0</v>
      </c>
      <c r="BA176" t="s">
        <v>183</v>
      </c>
      <c r="BB176">
        <v>10</v>
      </c>
      <c r="BC176">
        <v>120</v>
      </c>
      <c r="BD176">
        <v>3650</v>
      </c>
      <c r="BE176" s="4">
        <f>BG176/365</f>
        <v>0.9726027397260274</v>
      </c>
      <c r="BF176" s="4">
        <f>BE176*12</f>
        <v>11.671232876712329</v>
      </c>
      <c r="BG176" s="4">
        <f>'6'!$C$37</f>
        <v>355</v>
      </c>
      <c r="BI176" t="s">
        <v>184</v>
      </c>
      <c r="BN176">
        <v>1</v>
      </c>
      <c r="BO176">
        <v>0</v>
      </c>
      <c r="BP176">
        <v>0</v>
      </c>
      <c r="BY176" t="s">
        <v>185</v>
      </c>
      <c r="BZ176" t="s">
        <v>186</v>
      </c>
      <c r="CA176" t="s">
        <v>187</v>
      </c>
      <c r="CB176" t="s">
        <v>188</v>
      </c>
      <c r="CC176" t="s">
        <v>189</v>
      </c>
      <c r="CD176" t="s">
        <v>190</v>
      </c>
      <c r="CE176" t="s">
        <v>191</v>
      </c>
      <c r="CF176" t="s">
        <v>192</v>
      </c>
      <c r="CG176" t="s">
        <v>193</v>
      </c>
      <c r="CH176" t="s">
        <v>194</v>
      </c>
      <c r="CI176" t="s">
        <v>195</v>
      </c>
      <c r="CJ176" t="s">
        <v>196</v>
      </c>
      <c r="CK176" t="s">
        <v>197</v>
      </c>
      <c r="CN176" t="s">
        <v>198</v>
      </c>
      <c r="CU176">
        <v>-32.188583870550602</v>
      </c>
      <c r="CV176">
        <v>28.055331967751801</v>
      </c>
      <c r="CW176" s="1">
        <v>3046098.51</v>
      </c>
      <c r="CX176">
        <v>0</v>
      </c>
      <c r="CZ176" s="1"/>
      <c r="DA176" s="1">
        <v>1</v>
      </c>
      <c r="DB176" s="1">
        <v>3036924.77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 t="s">
        <v>187</v>
      </c>
      <c r="DR176" s="1">
        <f>'6'!$C$5</f>
        <v>3046098.51</v>
      </c>
      <c r="DS176" s="1">
        <f>'6'!$C$5</f>
        <v>3046098.51</v>
      </c>
      <c r="DT176" s="1">
        <v>0</v>
      </c>
      <c r="DU176" s="1">
        <v>1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f>DS176+DT176+DV176-DW176+DX176-DY176+DZ176+EA176+EB176</f>
        <v>3046098.51</v>
      </c>
      <c r="EE176" s="1">
        <f>'6'!$C$22</f>
        <v>148296.81</v>
      </c>
      <c r="EF176" s="1">
        <f>'6'!$C$22</f>
        <v>148296.81</v>
      </c>
      <c r="EG176" s="2">
        <f>'6'!$C$28</f>
        <v>599999.5</v>
      </c>
      <c r="EH176" s="1">
        <v>0</v>
      </c>
      <c r="EI176" s="1">
        <v>0</v>
      </c>
      <c r="EJ176" s="1">
        <v>0</v>
      </c>
      <c r="EK176" s="1">
        <f>EF176+EG176+EH176-EI176-EJ176</f>
        <v>748296.31</v>
      </c>
      <c r="EL176" s="1">
        <f>'6'!$C$23</f>
        <v>1714240.0399999996</v>
      </c>
      <c r="EM176" s="1">
        <f>'6'!$C$23</f>
        <v>1714240.0399999996</v>
      </c>
      <c r="EN176" s="1">
        <v>0</v>
      </c>
      <c r="EO176" s="1">
        <v>0</v>
      </c>
      <c r="EP176" s="1">
        <v>0</v>
      </c>
      <c r="EQ176" s="1">
        <f>EM176+EN176-EO176-EP176</f>
        <v>1714240.0399999996</v>
      </c>
      <c r="ER176" s="1">
        <f>ED176-EK176-EQ176</f>
        <v>583562.16000000015</v>
      </c>
      <c r="ES176" s="1">
        <v>0</v>
      </c>
      <c r="ET176" s="1">
        <v>0</v>
      </c>
      <c r="EZ176" t="s">
        <v>170</v>
      </c>
      <c r="FA176" t="s">
        <v>199</v>
      </c>
    </row>
    <row r="177" spans="1:148" ht="29.45" thickBot="1">
      <c r="A177" s="6" t="s">
        <v>262</v>
      </c>
      <c r="B177" s="6"/>
      <c r="C177" s="1" t="s">
        <v>201</v>
      </c>
      <c r="CZ177" s="1"/>
      <c r="DS177" s="8">
        <f>DS175-DS176</f>
        <v>0</v>
      </c>
      <c r="ED177" s="8">
        <f>ED175-ED176</f>
        <v>0</v>
      </c>
      <c r="EE177" s="8">
        <f t="shared" ref="EE177" si="24">EE175-EE176</f>
        <v>-8092.8699999999953</v>
      </c>
      <c r="EF177" s="8">
        <f t="shared" ref="EF177" si="25">EF175-EF176</f>
        <v>-8092.8699999999953</v>
      </c>
      <c r="EG177" s="8">
        <f>EG175-EG176</f>
        <v>-295389.75</v>
      </c>
      <c r="EK177" s="8">
        <f>EK175-EK176</f>
        <v>-303482.62000000005</v>
      </c>
      <c r="EL177" s="8">
        <f>EL175-EL176</f>
        <v>-1714240.0399999996</v>
      </c>
      <c r="EM177" s="8">
        <f>EM175-EM176</f>
        <v>-1714240.0399999996</v>
      </c>
      <c r="EN177" s="8">
        <f>EN175-EN176</f>
        <v>0</v>
      </c>
      <c r="EO177" s="8">
        <f t="shared" ref="EO177:EQ177" si="26">EO175-EO176</f>
        <v>0</v>
      </c>
      <c r="EP177" s="8">
        <f t="shared" si="26"/>
        <v>0</v>
      </c>
      <c r="EQ177" s="8">
        <f t="shared" si="26"/>
        <v>-1714240.0399999996</v>
      </c>
      <c r="ER177" s="8">
        <f>ER175-ER176</f>
        <v>2017722.6599999997</v>
      </c>
    </row>
    <row r="178" spans="1:148" ht="15" thickTop="1">
      <c r="A178" s="5"/>
      <c r="B178" s="5"/>
      <c r="C178" s="5"/>
    </row>
    <row r="179" spans="1:148">
      <c r="A179" s="9" t="s">
        <v>202</v>
      </c>
      <c r="B179" s="9"/>
      <c r="C179" s="9" t="s">
        <v>203</v>
      </c>
      <c r="D179" s="10" t="s">
        <v>204</v>
      </c>
      <c r="E179" s="10" t="s">
        <v>205</v>
      </c>
    </row>
    <row r="180" spans="1:148">
      <c r="A180" s="6" t="s">
        <v>206</v>
      </c>
      <c r="B180" s="9"/>
      <c r="C180" s="9"/>
      <c r="D180" s="10"/>
      <c r="E180" s="10"/>
    </row>
    <row r="181" spans="1:148">
      <c r="A181" s="6" t="s">
        <v>207</v>
      </c>
      <c r="B181" s="6"/>
      <c r="C181" s="11">
        <f>DS175</f>
        <v>3046098.51</v>
      </c>
      <c r="D181" s="11">
        <f>DS176</f>
        <v>3046098.51</v>
      </c>
      <c r="E181" s="11">
        <f>D181-C181</f>
        <v>0</v>
      </c>
      <c r="G181" s="5"/>
    </row>
    <row r="182" spans="1:148">
      <c r="A182" s="6" t="s">
        <v>208</v>
      </c>
      <c r="B182" s="6"/>
      <c r="C182" s="11"/>
      <c r="D182" s="11"/>
      <c r="E182" s="11"/>
    </row>
    <row r="183" spans="1:148">
      <c r="A183" s="6" t="s">
        <v>263</v>
      </c>
      <c r="B183" s="6"/>
      <c r="C183" s="11"/>
      <c r="D183" s="11"/>
      <c r="E183" s="11"/>
    </row>
    <row r="184" spans="1:148">
      <c r="A184" s="6" t="s">
        <v>264</v>
      </c>
      <c r="B184" s="6"/>
      <c r="C184" s="11">
        <f>EM175</f>
        <v>0</v>
      </c>
      <c r="D184" s="11">
        <f>EM176</f>
        <v>1714240.0399999996</v>
      </c>
      <c r="E184" s="11">
        <f>C184-D184</f>
        <v>-1714240.0399999996</v>
      </c>
    </row>
    <row r="185" spans="1:148">
      <c r="A185" s="6" t="s">
        <v>265</v>
      </c>
      <c r="B185" s="6"/>
      <c r="C185" s="11">
        <f>EN175</f>
        <v>0</v>
      </c>
      <c r="D185" s="11">
        <f>EN176</f>
        <v>0</v>
      </c>
      <c r="E185" s="11">
        <f>C185-D185</f>
        <v>0</v>
      </c>
    </row>
    <row r="186" spans="1:148">
      <c r="A186" s="6" t="s">
        <v>266</v>
      </c>
      <c r="B186" s="6"/>
      <c r="C186" s="11">
        <f>EM175</f>
        <v>0</v>
      </c>
      <c r="D186" s="11">
        <f>EM176</f>
        <v>1714240.0399999996</v>
      </c>
      <c r="E186" s="11">
        <f>D186-C186</f>
        <v>1714240.0399999996</v>
      </c>
    </row>
    <row r="187" spans="1:148">
      <c r="A187" s="6" t="s">
        <v>267</v>
      </c>
      <c r="B187" s="6"/>
      <c r="C187" s="11">
        <f>EN175</f>
        <v>0</v>
      </c>
      <c r="D187" s="11">
        <f>EN176</f>
        <v>0</v>
      </c>
      <c r="E187" s="11">
        <f>D187-C187</f>
        <v>0</v>
      </c>
    </row>
    <row r="188" spans="1:148">
      <c r="A188" s="6" t="s">
        <v>211</v>
      </c>
      <c r="B188" s="6"/>
      <c r="C188" s="11"/>
      <c r="D188" s="11"/>
      <c r="E188" s="11"/>
    </row>
    <row r="189" spans="1:148">
      <c r="A189" s="6" t="s">
        <v>212</v>
      </c>
      <c r="B189" s="6"/>
      <c r="C189" s="11">
        <f>'6'!$B$22</f>
        <v>140203.94</v>
      </c>
      <c r="D189" s="11">
        <f>'6'!$C$22</f>
        <v>148296.81</v>
      </c>
      <c r="E189" s="11">
        <f>C189-D189</f>
        <v>-8092.8699999999953</v>
      </c>
    </row>
    <row r="190" spans="1:148">
      <c r="A190" s="6" t="s">
        <v>213</v>
      </c>
      <c r="B190" s="6"/>
      <c r="C190" s="11">
        <f>'6'!$B$28</f>
        <v>304609.75</v>
      </c>
      <c r="D190" s="11">
        <f>'6'!$C$28</f>
        <v>599999.5</v>
      </c>
      <c r="E190" s="11">
        <f>C190-D190</f>
        <v>-295389.75</v>
      </c>
    </row>
    <row r="191" spans="1:148">
      <c r="A191" s="6" t="s">
        <v>214</v>
      </c>
      <c r="B191" s="6"/>
      <c r="C191" s="11">
        <f>C189</f>
        <v>140203.94</v>
      </c>
      <c r="D191" s="11">
        <f>D189</f>
        <v>148296.81</v>
      </c>
      <c r="E191" s="11">
        <f>D191-C191</f>
        <v>8092.8699999999953</v>
      </c>
    </row>
    <row r="192" spans="1:148">
      <c r="A192" s="6" t="s">
        <v>215</v>
      </c>
      <c r="B192" s="6"/>
      <c r="C192" s="11">
        <f>C190</f>
        <v>304609.75</v>
      </c>
      <c r="D192" s="11">
        <f>D190</f>
        <v>599999.5</v>
      </c>
      <c r="E192" s="11">
        <f>D192-C192</f>
        <v>295389.75</v>
      </c>
    </row>
    <row r="193" spans="1:157">
      <c r="E193" s="5"/>
    </row>
    <row r="194" spans="1:157" ht="28.9">
      <c r="A194" s="6" t="s">
        <v>268</v>
      </c>
      <c r="B194" s="6"/>
      <c r="C194" s="6" t="s">
        <v>163</v>
      </c>
      <c r="D194" t="s">
        <v>164</v>
      </c>
      <c r="E194">
        <v>0</v>
      </c>
      <c r="F194">
        <v>10767</v>
      </c>
      <c r="G194" t="s">
        <v>165</v>
      </c>
      <c r="H194" t="s">
        <v>166</v>
      </c>
      <c r="I194" t="s">
        <v>167</v>
      </c>
      <c r="K194" t="s">
        <v>167</v>
      </c>
      <c r="O194" t="s">
        <v>168</v>
      </c>
      <c r="P194" t="s">
        <v>169</v>
      </c>
      <c r="Q194" t="s">
        <v>170</v>
      </c>
      <c r="R194" t="s">
        <v>167</v>
      </c>
      <c r="S194" t="s">
        <v>171</v>
      </c>
      <c r="U194" t="s">
        <v>167</v>
      </c>
      <c r="V194" t="s">
        <v>167</v>
      </c>
      <c r="W194" t="s">
        <v>172</v>
      </c>
      <c r="X194" t="s">
        <v>173</v>
      </c>
      <c r="Y194" t="s">
        <v>174</v>
      </c>
      <c r="Z194" t="s">
        <v>170</v>
      </c>
      <c r="AA194" t="s">
        <v>175</v>
      </c>
      <c r="AB194" t="s">
        <v>176</v>
      </c>
      <c r="AC194" t="s">
        <v>177</v>
      </c>
      <c r="AD194" t="s">
        <v>178</v>
      </c>
      <c r="AE194" t="s">
        <v>179</v>
      </c>
      <c r="AF194" s="3">
        <v>45580</v>
      </c>
      <c r="AG194" s="3">
        <v>45306</v>
      </c>
      <c r="AH194" s="3">
        <v>45473</v>
      </c>
      <c r="AL194" s="3">
        <v>45838.958333333336</v>
      </c>
      <c r="AM194" s="3">
        <v>45473</v>
      </c>
      <c r="AN194" t="s">
        <v>180</v>
      </c>
      <c r="AP194" s="3">
        <v>45473</v>
      </c>
      <c r="AS194" t="s">
        <v>181</v>
      </c>
      <c r="AT194" t="s">
        <v>182</v>
      </c>
      <c r="AV194" t="s">
        <v>182</v>
      </c>
      <c r="AW194" s="5">
        <v>3046098.51</v>
      </c>
      <c r="AX194" s="7">
        <f>ER194</f>
        <v>583562.16000000015</v>
      </c>
      <c r="AY194">
        <v>0</v>
      </c>
      <c r="AZ194">
        <v>0</v>
      </c>
      <c r="BA194" t="s">
        <v>183</v>
      </c>
      <c r="BB194">
        <v>10</v>
      </c>
      <c r="BC194">
        <v>120</v>
      </c>
      <c r="BD194">
        <v>3650</v>
      </c>
      <c r="BE194" s="4">
        <f>BG194/365</f>
        <v>0.9726027397260274</v>
      </c>
      <c r="BF194" s="4">
        <f>BE194*12</f>
        <v>11.671232876712329</v>
      </c>
      <c r="BG194" s="4">
        <f>'6'!$C$37</f>
        <v>355</v>
      </c>
      <c r="BI194" t="s">
        <v>184</v>
      </c>
      <c r="BN194">
        <v>1</v>
      </c>
      <c r="BO194">
        <v>0</v>
      </c>
      <c r="BP194">
        <v>0</v>
      </c>
      <c r="BY194" t="s">
        <v>185</v>
      </c>
      <c r="BZ194" t="s">
        <v>186</v>
      </c>
      <c r="CA194" t="s">
        <v>187</v>
      </c>
      <c r="CB194" t="s">
        <v>188</v>
      </c>
      <c r="CC194" t="s">
        <v>189</v>
      </c>
      <c r="CD194" t="s">
        <v>190</v>
      </c>
      <c r="CE194" t="s">
        <v>191</v>
      </c>
      <c r="CF194" t="s">
        <v>192</v>
      </c>
      <c r="CG194" t="s">
        <v>193</v>
      </c>
      <c r="CH194" t="s">
        <v>194</v>
      </c>
      <c r="CI194" t="s">
        <v>195</v>
      </c>
      <c r="CJ194" t="s">
        <v>196</v>
      </c>
      <c r="CK194" t="s">
        <v>197</v>
      </c>
      <c r="CN194" t="s">
        <v>198</v>
      </c>
      <c r="CU194">
        <v>-32.188583870550602</v>
      </c>
      <c r="CV194">
        <v>28.055331967751801</v>
      </c>
      <c r="CW194" s="1">
        <v>3046098.51</v>
      </c>
      <c r="CX194">
        <v>0</v>
      </c>
      <c r="CZ194" s="1"/>
      <c r="DA194" s="1">
        <v>1</v>
      </c>
      <c r="DB194" s="1">
        <v>3036924.77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 t="s">
        <v>187</v>
      </c>
      <c r="DR194" s="1">
        <f>'6'!$C$5</f>
        <v>3046098.51</v>
      </c>
      <c r="DS194" s="1">
        <f>'6'!$C$5</f>
        <v>3046098.51</v>
      </c>
      <c r="DT194" s="1">
        <v>0</v>
      </c>
      <c r="DU194" s="1">
        <v>1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f>DS194+DT194+DV194-DW194+DX194-DY194+DZ194+EA194+EB194</f>
        <v>3046098.51</v>
      </c>
      <c r="EE194" s="1">
        <f>'6'!$C$22</f>
        <v>148296.81</v>
      </c>
      <c r="EF194" s="1">
        <f>'6'!$C$22</f>
        <v>148296.81</v>
      </c>
      <c r="EG194" s="2">
        <f>'6'!$C$28</f>
        <v>599999.5</v>
      </c>
      <c r="EH194" s="1">
        <v>0</v>
      </c>
      <c r="EI194" s="1">
        <v>0</v>
      </c>
      <c r="EJ194" s="1">
        <v>0</v>
      </c>
      <c r="EK194" s="1">
        <f>EF194+EG194+EH194-EI194-EJ194</f>
        <v>748296.31</v>
      </c>
      <c r="EL194" s="1">
        <f>'6'!$C$23</f>
        <v>1714240.0399999996</v>
      </c>
      <c r="EM194" s="1">
        <f>'6'!$C$23</f>
        <v>1714240.0399999996</v>
      </c>
      <c r="EN194" s="1">
        <v>0</v>
      </c>
      <c r="EO194" s="1">
        <v>0</v>
      </c>
      <c r="EP194" s="1">
        <v>0</v>
      </c>
      <c r="EQ194" s="1">
        <f>EM194+EN194-EO194-EP194</f>
        <v>1714240.0399999996</v>
      </c>
      <c r="ER194" s="1">
        <f>ED194-EK194-EQ194</f>
        <v>583562.16000000015</v>
      </c>
      <c r="ES194" s="1">
        <v>0</v>
      </c>
      <c r="ET194" s="1">
        <v>0</v>
      </c>
      <c r="EZ194" t="s">
        <v>170</v>
      </c>
      <c r="FA194" t="s">
        <v>199</v>
      </c>
    </row>
    <row r="195" spans="1:157" ht="28.9">
      <c r="A195" s="6" t="s">
        <v>268</v>
      </c>
      <c r="B195" s="6"/>
      <c r="C195" s="6" t="s">
        <v>200</v>
      </c>
      <c r="D195" t="s">
        <v>164</v>
      </c>
      <c r="E195">
        <v>0</v>
      </c>
      <c r="F195">
        <v>10767</v>
      </c>
      <c r="G195" t="s">
        <v>165</v>
      </c>
      <c r="H195" t="s">
        <v>166</v>
      </c>
      <c r="I195" t="s">
        <v>167</v>
      </c>
      <c r="K195" t="s">
        <v>167</v>
      </c>
      <c r="O195" t="s">
        <v>168</v>
      </c>
      <c r="P195" t="s">
        <v>169</v>
      </c>
      <c r="Q195" t="s">
        <v>170</v>
      </c>
      <c r="R195" t="s">
        <v>167</v>
      </c>
      <c r="S195" t="s">
        <v>171</v>
      </c>
      <c r="U195" t="s">
        <v>167</v>
      </c>
      <c r="V195" t="s">
        <v>167</v>
      </c>
      <c r="W195" t="s">
        <v>172</v>
      </c>
      <c r="X195" t="s">
        <v>173</v>
      </c>
      <c r="Y195" t="s">
        <v>174</v>
      </c>
      <c r="Z195" t="s">
        <v>170</v>
      </c>
      <c r="AA195" t="s">
        <v>175</v>
      </c>
      <c r="AB195" t="s">
        <v>176</v>
      </c>
      <c r="AC195" t="s">
        <v>177</v>
      </c>
      <c r="AD195" t="s">
        <v>178</v>
      </c>
      <c r="AE195" t="s">
        <v>179</v>
      </c>
      <c r="AF195" s="3">
        <v>45580</v>
      </c>
      <c r="AG195" s="3">
        <v>45306</v>
      </c>
      <c r="AH195" s="3">
        <v>45473</v>
      </c>
      <c r="AL195" s="3">
        <v>45838.958333333336</v>
      </c>
      <c r="AM195" s="3">
        <v>45473</v>
      </c>
      <c r="AN195" t="s">
        <v>180</v>
      </c>
      <c r="AP195" s="3">
        <v>45473</v>
      </c>
      <c r="AS195" t="s">
        <v>181</v>
      </c>
      <c r="AT195" t="s">
        <v>182</v>
      </c>
      <c r="AV195" t="s">
        <v>182</v>
      </c>
      <c r="AW195" s="5">
        <v>3046098.51</v>
      </c>
      <c r="AX195" s="7">
        <f>ER195</f>
        <v>680822.43000000017</v>
      </c>
      <c r="AY195">
        <v>0</v>
      </c>
      <c r="AZ195">
        <v>0</v>
      </c>
      <c r="BA195" t="s">
        <v>183</v>
      </c>
      <c r="BB195">
        <v>10</v>
      </c>
      <c r="BC195">
        <v>120</v>
      </c>
      <c r="BD195">
        <v>3650</v>
      </c>
      <c r="BE195" s="4">
        <f>BG195/365</f>
        <v>0.9726027397260274</v>
      </c>
      <c r="BF195" s="4">
        <f>BE195*12</f>
        <v>11.671232876712329</v>
      </c>
      <c r="BG195" s="4">
        <f>'6'!$E$37</f>
        <v>355</v>
      </c>
      <c r="BI195" t="s">
        <v>184</v>
      </c>
      <c r="BN195">
        <v>1</v>
      </c>
      <c r="BO195">
        <v>0</v>
      </c>
      <c r="BP195">
        <v>0</v>
      </c>
      <c r="BY195" t="s">
        <v>185</v>
      </c>
      <c r="BZ195" t="s">
        <v>186</v>
      </c>
      <c r="CA195" t="s">
        <v>187</v>
      </c>
      <c r="CB195" t="s">
        <v>188</v>
      </c>
      <c r="CC195" t="s">
        <v>189</v>
      </c>
      <c r="CD195" t="s">
        <v>190</v>
      </c>
      <c r="CE195" t="s">
        <v>191</v>
      </c>
      <c r="CF195" t="s">
        <v>192</v>
      </c>
      <c r="CG195" t="s">
        <v>193</v>
      </c>
      <c r="CH195" t="s">
        <v>194</v>
      </c>
      <c r="CI195" t="s">
        <v>195</v>
      </c>
      <c r="CJ195" t="s">
        <v>196</v>
      </c>
      <c r="CK195" t="s">
        <v>197</v>
      </c>
      <c r="CN195" t="s">
        <v>198</v>
      </c>
      <c r="CU195">
        <v>-32.188583870550602</v>
      </c>
      <c r="CV195">
        <v>28.055331967751801</v>
      </c>
      <c r="CW195" s="1">
        <v>3046098.51</v>
      </c>
      <c r="CX195">
        <v>0</v>
      </c>
      <c r="CZ195" s="1"/>
      <c r="DA195" s="1">
        <v>1</v>
      </c>
      <c r="DB195" s="1">
        <v>3036924.77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 t="s">
        <v>187</v>
      </c>
      <c r="DR195" s="1">
        <f>'6'!$E$5</f>
        <v>3046098.51</v>
      </c>
      <c r="DS195" s="1">
        <f>'6'!$E$5</f>
        <v>3046098.51</v>
      </c>
      <c r="DT195" s="1">
        <v>0</v>
      </c>
      <c r="DU195" s="1">
        <v>1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f>DS195+DT195+DV195-DW195+DX195-DY195+DZ195+EA195+EB195</f>
        <v>3046098.51</v>
      </c>
      <c r="EE195" s="1">
        <f>'6'!$E$22</f>
        <v>151036.54</v>
      </c>
      <c r="EF195" s="1">
        <f>'6'!$E$22</f>
        <v>151036.54</v>
      </c>
      <c r="EG195" s="2">
        <f>'6'!$E$28</f>
        <v>699999.5</v>
      </c>
      <c r="EH195" s="1">
        <v>0</v>
      </c>
      <c r="EI195" s="1">
        <v>0</v>
      </c>
      <c r="EJ195" s="1">
        <v>0</v>
      </c>
      <c r="EK195" s="1">
        <f>EF195+EG195+EH195-EI195-EJ195</f>
        <v>851036.04</v>
      </c>
      <c r="EL195" s="1">
        <f>'6'!$E$23</f>
        <v>1514240.0399999996</v>
      </c>
      <c r="EM195" s="1">
        <f>'6'!$E$23</f>
        <v>1514240.0399999996</v>
      </c>
      <c r="EN195" s="1">
        <v>0</v>
      </c>
      <c r="EO195" s="1">
        <v>0</v>
      </c>
      <c r="EP195" s="1">
        <v>0</v>
      </c>
      <c r="EQ195" s="1">
        <f>EM195+EN195-EO195-EP195</f>
        <v>1514240.0399999996</v>
      </c>
      <c r="ER195" s="1">
        <f>ED195-EK195-EQ195</f>
        <v>680822.43000000017</v>
      </c>
      <c r="ES195" s="1">
        <v>0</v>
      </c>
      <c r="ET195" s="1">
        <v>0</v>
      </c>
      <c r="EZ195" t="s">
        <v>170</v>
      </c>
      <c r="FA195" t="s">
        <v>199</v>
      </c>
    </row>
    <row r="196" spans="1:157" ht="29.45" thickBot="1">
      <c r="A196" s="6" t="s">
        <v>268</v>
      </c>
      <c r="B196" s="6"/>
      <c r="C196" s="1" t="s">
        <v>201</v>
      </c>
      <c r="CZ196" s="1"/>
      <c r="DS196" s="8">
        <f>DS194-DS195</f>
        <v>0</v>
      </c>
      <c r="ED196" s="8">
        <f>ED194-ED195</f>
        <v>0</v>
      </c>
      <c r="EE196" s="8">
        <f t="shared" ref="EE196:EF196" si="27">EE194-EE195</f>
        <v>-2739.7300000000105</v>
      </c>
      <c r="EF196" s="8">
        <f t="shared" si="27"/>
        <v>-2739.7300000000105</v>
      </c>
      <c r="EG196" s="8">
        <f>EG194-EG195</f>
        <v>-100000</v>
      </c>
      <c r="EK196" s="8">
        <f>EK194-EK195</f>
        <v>-102739.72999999998</v>
      </c>
      <c r="EL196" s="8">
        <f>EL194-EL195</f>
        <v>200000</v>
      </c>
      <c r="EM196" s="8">
        <f>EM194-EM195</f>
        <v>200000</v>
      </c>
      <c r="EN196" s="8">
        <f>EN194-EN195</f>
        <v>0</v>
      </c>
      <c r="EO196" s="8">
        <f t="shared" ref="EO196" si="28">EO194-EO195</f>
        <v>0</v>
      </c>
      <c r="EP196" s="8">
        <f t="shared" ref="EP196" si="29">EP194-EP195</f>
        <v>0</v>
      </c>
      <c r="EQ196" s="8">
        <f t="shared" ref="EQ196" si="30">EQ194-EQ195</f>
        <v>200000</v>
      </c>
      <c r="ER196" s="8">
        <f>ER194-ER195</f>
        <v>-97260.270000000019</v>
      </c>
    </row>
    <row r="197" spans="1:157" ht="15" thickTop="1">
      <c r="A197" s="5"/>
      <c r="B197" s="5"/>
      <c r="C197" s="5"/>
    </row>
    <row r="198" spans="1:157">
      <c r="A198" s="9" t="s">
        <v>202</v>
      </c>
      <c r="B198" s="9"/>
      <c r="C198" s="9" t="s">
        <v>203</v>
      </c>
      <c r="D198" s="10" t="s">
        <v>204</v>
      </c>
      <c r="E198" s="10" t="s">
        <v>205</v>
      </c>
    </row>
    <row r="199" spans="1:157">
      <c r="A199" s="6" t="s">
        <v>206</v>
      </c>
      <c r="B199" s="9"/>
      <c r="C199" s="9"/>
      <c r="D199" s="10"/>
      <c r="E199" s="10"/>
    </row>
    <row r="200" spans="1:157">
      <c r="A200" s="6" t="s">
        <v>207</v>
      </c>
      <c r="B200" s="6"/>
      <c r="C200" s="11">
        <f>DS194</f>
        <v>3046098.51</v>
      </c>
      <c r="D200" s="11">
        <f>DS195</f>
        <v>3046098.51</v>
      </c>
      <c r="E200" s="11">
        <f>D200-C200</f>
        <v>0</v>
      </c>
      <c r="G200" s="5"/>
    </row>
    <row r="201" spans="1:157">
      <c r="A201" s="6" t="s">
        <v>207</v>
      </c>
      <c r="B201" s="6"/>
      <c r="C201" s="11"/>
      <c r="D201" s="11"/>
      <c r="E201" s="11"/>
    </row>
    <row r="202" spans="1:157">
      <c r="A202" s="6" t="s">
        <v>263</v>
      </c>
      <c r="B202" s="6"/>
      <c r="C202" s="11"/>
      <c r="D202" s="11"/>
      <c r="E202" s="11"/>
    </row>
    <row r="203" spans="1:157">
      <c r="A203" s="6" t="s">
        <v>264</v>
      </c>
      <c r="B203" s="6"/>
      <c r="C203" s="11">
        <f>EM194</f>
        <v>1714240.0399999996</v>
      </c>
      <c r="D203" s="11">
        <f>EM195</f>
        <v>1514240.0399999996</v>
      </c>
      <c r="E203" s="11">
        <f>C203-D203</f>
        <v>200000</v>
      </c>
    </row>
    <row r="204" spans="1:157">
      <c r="A204" s="6" t="s">
        <v>265</v>
      </c>
      <c r="B204" s="6"/>
      <c r="C204" s="11">
        <f>EN194</f>
        <v>0</v>
      </c>
      <c r="D204" s="11">
        <f>EN195</f>
        <v>0</v>
      </c>
      <c r="E204" s="11">
        <f>C204-D204</f>
        <v>0</v>
      </c>
    </row>
    <row r="205" spans="1:157">
      <c r="A205" s="6" t="s">
        <v>269</v>
      </c>
      <c r="B205" s="6"/>
      <c r="C205" s="11">
        <f>EM194</f>
        <v>1714240.0399999996</v>
      </c>
      <c r="D205" s="11">
        <f>EM195</f>
        <v>1514240.0399999996</v>
      </c>
      <c r="E205" s="11">
        <f>D205-C205</f>
        <v>-200000</v>
      </c>
    </row>
    <row r="206" spans="1:157">
      <c r="A206" s="6" t="s">
        <v>254</v>
      </c>
      <c r="B206" s="6"/>
      <c r="C206" s="11">
        <f>EN194</f>
        <v>0</v>
      </c>
      <c r="D206" s="11">
        <f>EN195</f>
        <v>0</v>
      </c>
      <c r="E206" s="11">
        <f>D206-C206</f>
        <v>0</v>
      </c>
    </row>
    <row r="207" spans="1:157">
      <c r="A207" s="6" t="s">
        <v>211</v>
      </c>
      <c r="B207" s="6"/>
      <c r="C207" s="11"/>
      <c r="D207" s="11"/>
      <c r="E207" s="11"/>
    </row>
    <row r="208" spans="1:157">
      <c r="A208" s="6" t="s">
        <v>212</v>
      </c>
      <c r="B208" s="6"/>
      <c r="C208" s="11">
        <f>'6'!$C$22</f>
        <v>148296.81</v>
      </c>
      <c r="D208" s="11">
        <f>'6'!$E$22</f>
        <v>151036.54</v>
      </c>
      <c r="E208" s="11">
        <f>C208-D208</f>
        <v>-2739.7300000000105</v>
      </c>
    </row>
    <row r="209" spans="1:157">
      <c r="A209" s="6" t="s">
        <v>213</v>
      </c>
      <c r="B209" s="6"/>
      <c r="C209" s="11">
        <f>'6'!$C$28</f>
        <v>599999.5</v>
      </c>
      <c r="D209" s="11">
        <f>'6'!$E$28</f>
        <v>699999.5</v>
      </c>
      <c r="E209" s="11">
        <f>C209-D209</f>
        <v>-100000</v>
      </c>
    </row>
    <row r="210" spans="1:157">
      <c r="A210" s="6" t="s">
        <v>253</v>
      </c>
      <c r="B210" s="6"/>
      <c r="C210" s="11">
        <f>C208</f>
        <v>148296.81</v>
      </c>
      <c r="D210" s="11">
        <f>D208</f>
        <v>151036.54</v>
      </c>
      <c r="E210" s="11">
        <f>D210-C210</f>
        <v>2739.7300000000105</v>
      </c>
    </row>
    <row r="211" spans="1:157">
      <c r="A211" s="6" t="s">
        <v>254</v>
      </c>
      <c r="B211" s="6"/>
      <c r="C211" s="11">
        <f>C209</f>
        <v>599999.5</v>
      </c>
      <c r="D211" s="11">
        <f>D209</f>
        <v>699999.5</v>
      </c>
      <c r="E211" s="11">
        <f>D211-C211</f>
        <v>100000</v>
      </c>
    </row>
    <row r="212" spans="1:157">
      <c r="E212" s="5"/>
    </row>
    <row r="213" spans="1:157" ht="28.9">
      <c r="A213" s="6" t="s">
        <v>270</v>
      </c>
      <c r="B213" s="6"/>
      <c r="C213" s="6" t="s">
        <v>163</v>
      </c>
      <c r="D213" t="s">
        <v>164</v>
      </c>
      <c r="E213">
        <v>0</v>
      </c>
      <c r="F213">
        <v>10767</v>
      </c>
      <c r="G213" t="s">
        <v>165</v>
      </c>
      <c r="H213" t="s">
        <v>166</v>
      </c>
      <c r="I213" t="s">
        <v>167</v>
      </c>
      <c r="K213" t="s">
        <v>167</v>
      </c>
      <c r="O213" t="s">
        <v>168</v>
      </c>
      <c r="P213" t="s">
        <v>169</v>
      </c>
      <c r="Q213" t="s">
        <v>170</v>
      </c>
      <c r="R213" t="s">
        <v>167</v>
      </c>
      <c r="S213" t="s">
        <v>171</v>
      </c>
      <c r="U213" t="s">
        <v>167</v>
      </c>
      <c r="V213" t="s">
        <v>167</v>
      </c>
      <c r="W213" t="s">
        <v>172</v>
      </c>
      <c r="X213" t="s">
        <v>173</v>
      </c>
      <c r="Y213" t="s">
        <v>174</v>
      </c>
      <c r="Z213" t="s">
        <v>170</v>
      </c>
      <c r="AA213" t="s">
        <v>175</v>
      </c>
      <c r="AB213" t="s">
        <v>176</v>
      </c>
      <c r="AC213" t="s">
        <v>177</v>
      </c>
      <c r="AD213" t="s">
        <v>178</v>
      </c>
      <c r="AE213" t="s">
        <v>179</v>
      </c>
      <c r="AF213" s="3">
        <v>45580</v>
      </c>
      <c r="AG213" s="3">
        <v>45306</v>
      </c>
      <c r="AH213" s="3">
        <v>45473</v>
      </c>
      <c r="AL213" s="3">
        <v>45838.958333333336</v>
      </c>
      <c r="AM213" s="3">
        <v>45473</v>
      </c>
      <c r="AN213" t="s">
        <v>180</v>
      </c>
      <c r="AP213" s="3">
        <v>45473</v>
      </c>
      <c r="AS213" t="s">
        <v>181</v>
      </c>
      <c r="AT213" t="s">
        <v>182</v>
      </c>
      <c r="AV213" t="s">
        <v>182</v>
      </c>
      <c r="AW213" s="5">
        <v>3046098.51</v>
      </c>
      <c r="AX213" s="7">
        <f>ER213</f>
        <v>583562.16000000015</v>
      </c>
      <c r="AY213">
        <v>0</v>
      </c>
      <c r="AZ213">
        <v>0</v>
      </c>
      <c r="BA213" t="s">
        <v>183</v>
      </c>
      <c r="BB213">
        <v>10</v>
      </c>
      <c r="BC213">
        <v>120</v>
      </c>
      <c r="BD213">
        <v>3650</v>
      </c>
      <c r="BE213" s="4">
        <f>BG213/365</f>
        <v>0.9726027397260274</v>
      </c>
      <c r="BF213" s="4">
        <f>BE213*12</f>
        <v>11.671232876712329</v>
      </c>
      <c r="BG213" s="4">
        <f>'6'!$C$37</f>
        <v>355</v>
      </c>
      <c r="BI213" t="s">
        <v>184</v>
      </c>
      <c r="BN213">
        <v>1</v>
      </c>
      <c r="BO213">
        <v>0</v>
      </c>
      <c r="BP213">
        <v>0</v>
      </c>
      <c r="BY213" t="s">
        <v>185</v>
      </c>
      <c r="BZ213" t="s">
        <v>186</v>
      </c>
      <c r="CA213" t="s">
        <v>187</v>
      </c>
      <c r="CB213" t="s">
        <v>188</v>
      </c>
      <c r="CC213" t="s">
        <v>189</v>
      </c>
      <c r="CD213" t="s">
        <v>190</v>
      </c>
      <c r="CE213" t="s">
        <v>191</v>
      </c>
      <c r="CF213" t="s">
        <v>192</v>
      </c>
      <c r="CG213" t="s">
        <v>193</v>
      </c>
      <c r="CH213" t="s">
        <v>194</v>
      </c>
      <c r="CI213" t="s">
        <v>195</v>
      </c>
      <c r="CJ213" t="s">
        <v>196</v>
      </c>
      <c r="CK213" t="s">
        <v>197</v>
      </c>
      <c r="CN213" t="s">
        <v>198</v>
      </c>
      <c r="CU213">
        <v>-32.188583870550602</v>
      </c>
      <c r="CV213">
        <v>28.055331967751801</v>
      </c>
      <c r="CW213" s="1">
        <v>3046098.51</v>
      </c>
      <c r="CX213">
        <v>0</v>
      </c>
      <c r="CZ213" s="1"/>
      <c r="DA213" s="1">
        <v>1</v>
      </c>
      <c r="DB213" s="1">
        <v>3036924.77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 t="s">
        <v>187</v>
      </c>
      <c r="DR213" s="1">
        <f>'6'!$C$5</f>
        <v>3046098.51</v>
      </c>
      <c r="DS213" s="1">
        <f>'6'!$C$5</f>
        <v>3046098.51</v>
      </c>
      <c r="DT213" s="1">
        <v>0</v>
      </c>
      <c r="DU213" s="1">
        <v>1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f>DS213+DT213+DV213-DW213+DX213-DY213+DZ213+EA213+EB213</f>
        <v>3046098.51</v>
      </c>
      <c r="EE213" s="1">
        <f>'6'!$C$22</f>
        <v>148296.81</v>
      </c>
      <c r="EF213" s="1">
        <f>'6'!$C$22</f>
        <v>148296.81</v>
      </c>
      <c r="EG213" s="2">
        <f>'6'!$C$28</f>
        <v>599999.5</v>
      </c>
      <c r="EH213" s="1">
        <v>0</v>
      </c>
      <c r="EI213" s="1">
        <v>0</v>
      </c>
      <c r="EJ213" s="1">
        <v>0</v>
      </c>
      <c r="EK213" s="1">
        <f>EF213+EG213+EH213-EI213-EJ213</f>
        <v>748296.31</v>
      </c>
      <c r="EL213" s="1">
        <f>'6'!$C$23</f>
        <v>1714240.0399999996</v>
      </c>
      <c r="EM213" s="1">
        <f>'6'!$C$23</f>
        <v>1714240.0399999996</v>
      </c>
      <c r="EN213" s="1">
        <v>0</v>
      </c>
      <c r="EO213" s="1">
        <v>0</v>
      </c>
      <c r="EP213" s="1">
        <v>0</v>
      </c>
      <c r="EQ213" s="1">
        <f>EM213+EN213-EO213-EP213</f>
        <v>1714240.0399999996</v>
      </c>
      <c r="ER213" s="1">
        <f>ED213-EK213-EQ213</f>
        <v>583562.16000000015</v>
      </c>
      <c r="ES213" s="1">
        <v>0</v>
      </c>
      <c r="ET213" s="1">
        <v>0</v>
      </c>
      <c r="EZ213" t="s">
        <v>170</v>
      </c>
      <c r="FA213" t="s">
        <v>199</v>
      </c>
    </row>
    <row r="214" spans="1:157" ht="28.9">
      <c r="A214" s="6" t="s">
        <v>270</v>
      </c>
      <c r="B214" s="6"/>
      <c r="C214" s="6" t="s">
        <v>200</v>
      </c>
      <c r="D214" t="s">
        <v>164</v>
      </c>
      <c r="E214">
        <v>0</v>
      </c>
      <c r="F214">
        <v>10767</v>
      </c>
      <c r="G214" t="s">
        <v>165</v>
      </c>
      <c r="H214" t="s">
        <v>166</v>
      </c>
      <c r="I214" t="s">
        <v>167</v>
      </c>
      <c r="K214" t="s">
        <v>167</v>
      </c>
      <c r="O214" t="s">
        <v>168</v>
      </c>
      <c r="P214" t="s">
        <v>169</v>
      </c>
      <c r="Q214" t="s">
        <v>170</v>
      </c>
      <c r="R214" t="s">
        <v>167</v>
      </c>
      <c r="S214" t="s">
        <v>171</v>
      </c>
      <c r="U214" t="s">
        <v>167</v>
      </c>
      <c r="V214" t="s">
        <v>167</v>
      </c>
      <c r="W214" t="s">
        <v>172</v>
      </c>
      <c r="X214" t="s">
        <v>173</v>
      </c>
      <c r="Y214" t="s">
        <v>174</v>
      </c>
      <c r="Z214" t="s">
        <v>170</v>
      </c>
      <c r="AA214" t="s">
        <v>175</v>
      </c>
      <c r="AB214" t="s">
        <v>176</v>
      </c>
      <c r="AC214" t="s">
        <v>177</v>
      </c>
      <c r="AD214" t="s">
        <v>178</v>
      </c>
      <c r="AE214" t="s">
        <v>179</v>
      </c>
      <c r="AF214" s="3">
        <v>45580</v>
      </c>
      <c r="AG214" s="3">
        <v>45306</v>
      </c>
      <c r="AH214" s="3">
        <v>45473</v>
      </c>
      <c r="AL214" s="3">
        <v>45838.958333333336</v>
      </c>
      <c r="AM214" s="3">
        <v>45473</v>
      </c>
      <c r="AN214" t="s">
        <v>180</v>
      </c>
      <c r="AP214" s="3">
        <v>45473</v>
      </c>
      <c r="AS214" t="s">
        <v>181</v>
      </c>
      <c r="AT214" t="s">
        <v>182</v>
      </c>
      <c r="AV214" t="s">
        <v>182</v>
      </c>
      <c r="AW214" s="5">
        <v>3046098.51</v>
      </c>
      <c r="AX214" s="7">
        <f>ER214</f>
        <v>486301.88000000035</v>
      </c>
      <c r="AY214">
        <v>0</v>
      </c>
      <c r="AZ214">
        <v>0</v>
      </c>
      <c r="BA214" t="s">
        <v>183</v>
      </c>
      <c r="BB214">
        <v>10</v>
      </c>
      <c r="BC214">
        <v>120</v>
      </c>
      <c r="BD214">
        <v>3650</v>
      </c>
      <c r="BE214" s="4">
        <f>BG214/365</f>
        <v>0.9726027397260274</v>
      </c>
      <c r="BF214" s="4">
        <f>BE214*12</f>
        <v>11.671232876712329</v>
      </c>
      <c r="BG214" s="4">
        <f>'6'!$F$37</f>
        <v>355</v>
      </c>
      <c r="BI214" t="s">
        <v>184</v>
      </c>
      <c r="BN214">
        <v>1</v>
      </c>
      <c r="BO214">
        <v>0</v>
      </c>
      <c r="BP214">
        <v>0</v>
      </c>
      <c r="BY214" t="s">
        <v>185</v>
      </c>
      <c r="BZ214" t="s">
        <v>186</v>
      </c>
      <c r="CA214" t="s">
        <v>187</v>
      </c>
      <c r="CB214" t="s">
        <v>188</v>
      </c>
      <c r="CC214" t="s">
        <v>189</v>
      </c>
      <c r="CD214" t="s">
        <v>190</v>
      </c>
      <c r="CE214" t="s">
        <v>191</v>
      </c>
      <c r="CF214" t="s">
        <v>192</v>
      </c>
      <c r="CG214" t="s">
        <v>193</v>
      </c>
      <c r="CH214" t="s">
        <v>194</v>
      </c>
      <c r="CI214" t="s">
        <v>195</v>
      </c>
      <c r="CJ214" t="s">
        <v>196</v>
      </c>
      <c r="CK214" t="s">
        <v>197</v>
      </c>
      <c r="CN214" t="s">
        <v>198</v>
      </c>
      <c r="CU214">
        <v>-32.188583870550602</v>
      </c>
      <c r="CV214">
        <v>28.055331967751801</v>
      </c>
      <c r="CW214" s="1">
        <v>3046098.51</v>
      </c>
      <c r="CX214">
        <v>0</v>
      </c>
      <c r="CZ214" s="1"/>
      <c r="DA214" s="1">
        <v>1</v>
      </c>
      <c r="DB214" s="1">
        <v>3036924.77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 t="s">
        <v>187</v>
      </c>
      <c r="DR214" s="1">
        <f>'6'!$F$5</f>
        <v>3046098.51</v>
      </c>
      <c r="DS214" s="1">
        <f>'6'!$F$5</f>
        <v>3046098.51</v>
      </c>
      <c r="DT214" s="1">
        <v>0</v>
      </c>
      <c r="DU214" s="1">
        <v>1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f>DS214+DT214+DV214-DW214+DX214-DY214+DZ214+EA214+EB214</f>
        <v>3046098.51</v>
      </c>
      <c r="EE214" s="1">
        <f>'6'!$F$22</f>
        <v>145557.09</v>
      </c>
      <c r="EF214" s="1">
        <f>'6'!$F$22</f>
        <v>145557.09</v>
      </c>
      <c r="EG214" s="2">
        <f>'6'!$F$28</f>
        <v>499999.5</v>
      </c>
      <c r="EH214" s="1">
        <v>0</v>
      </c>
      <c r="EI214" s="1">
        <v>0</v>
      </c>
      <c r="EJ214" s="1">
        <v>0</v>
      </c>
      <c r="EK214" s="1">
        <f>EF214+EG214+EH214-EI214-EJ214</f>
        <v>645556.59</v>
      </c>
      <c r="EL214" s="1">
        <f>'6'!$F$23</f>
        <v>1914240.0399999996</v>
      </c>
      <c r="EM214" s="1">
        <f>'6'!$F$23</f>
        <v>1914240.0399999996</v>
      </c>
      <c r="EN214" s="1">
        <v>0</v>
      </c>
      <c r="EO214" s="1">
        <v>0</v>
      </c>
      <c r="EP214" s="1">
        <v>0</v>
      </c>
      <c r="EQ214" s="1">
        <f>EM214+EN214-EO214-EP214</f>
        <v>1914240.0399999996</v>
      </c>
      <c r="ER214" s="1">
        <f>ED214-EK214-EQ214</f>
        <v>486301.88000000035</v>
      </c>
      <c r="ES214" s="1">
        <v>0</v>
      </c>
      <c r="ET214" s="1">
        <v>0</v>
      </c>
      <c r="EZ214" t="s">
        <v>170</v>
      </c>
      <c r="FA214" t="s">
        <v>199</v>
      </c>
    </row>
    <row r="215" spans="1:157" ht="29.45" thickBot="1">
      <c r="A215" s="6" t="s">
        <v>270</v>
      </c>
      <c r="B215" s="6"/>
      <c r="C215" s="1" t="s">
        <v>201</v>
      </c>
      <c r="CZ215" s="1"/>
      <c r="DS215" s="8">
        <f>DS213-DS214</f>
        <v>0</v>
      </c>
      <c r="ED215" s="8">
        <f>ED213-ED214</f>
        <v>0</v>
      </c>
      <c r="EE215" s="8">
        <f t="shared" ref="EE215:EF215" si="31">EE213-EE214</f>
        <v>2739.7200000000012</v>
      </c>
      <c r="EF215" s="8">
        <f t="shared" si="31"/>
        <v>2739.7200000000012</v>
      </c>
      <c r="EG215" s="8">
        <f>EG213-EG214</f>
        <v>100000</v>
      </c>
      <c r="EK215" s="8">
        <f>EK213-EK214</f>
        <v>102739.72000000009</v>
      </c>
      <c r="EL215" s="8">
        <f>EL213-EL214</f>
        <v>-200000</v>
      </c>
      <c r="EM215" s="8">
        <f>EM213-EM214</f>
        <v>-200000</v>
      </c>
      <c r="EN215" s="8">
        <f>EN213-EN214</f>
        <v>0</v>
      </c>
      <c r="EO215" s="8">
        <f t="shared" ref="EO215" si="32">EO213-EO214</f>
        <v>0</v>
      </c>
      <c r="EP215" s="8">
        <f t="shared" ref="EP215" si="33">EP213-EP214</f>
        <v>0</v>
      </c>
      <c r="EQ215" s="8">
        <f t="shared" ref="EQ215" si="34">EQ213-EQ214</f>
        <v>-200000</v>
      </c>
      <c r="ER215" s="8">
        <f>ER213-ER214</f>
        <v>97260.279999999795</v>
      </c>
    </row>
    <row r="216" spans="1:157" ht="15" thickTop="1">
      <c r="A216" s="5"/>
      <c r="B216" s="5"/>
      <c r="C216" s="5"/>
    </row>
    <row r="217" spans="1:157">
      <c r="A217" s="9" t="s">
        <v>202</v>
      </c>
      <c r="B217" s="9"/>
      <c r="C217" s="9" t="s">
        <v>203</v>
      </c>
      <c r="D217" s="10" t="s">
        <v>204</v>
      </c>
      <c r="E217" s="10" t="s">
        <v>205</v>
      </c>
    </row>
    <row r="218" spans="1:157">
      <c r="A218" s="6" t="s">
        <v>271</v>
      </c>
      <c r="B218" s="6"/>
      <c r="C218" s="11">
        <f>DS213</f>
        <v>3046098.51</v>
      </c>
      <c r="D218" s="11">
        <f>DS214</f>
        <v>3046098.51</v>
      </c>
      <c r="E218" s="11">
        <f>D218-C218</f>
        <v>0</v>
      </c>
      <c r="G218" s="5"/>
    </row>
    <row r="219" spans="1:157">
      <c r="A219" s="6" t="s">
        <v>207</v>
      </c>
      <c r="B219" s="6"/>
      <c r="C219" s="11"/>
      <c r="D219" s="11"/>
      <c r="E219" s="11"/>
    </row>
    <row r="220" spans="1:157">
      <c r="A220" s="6" t="s">
        <v>263</v>
      </c>
      <c r="B220" s="6"/>
      <c r="C220" s="11">
        <f>EM213</f>
        <v>1714240.0399999996</v>
      </c>
      <c r="D220" s="11">
        <f>EM214</f>
        <v>1914240.0399999996</v>
      </c>
      <c r="E220" s="11">
        <f>C220-D220</f>
        <v>-200000</v>
      </c>
    </row>
    <row r="221" spans="1:157">
      <c r="A221" s="6" t="s">
        <v>264</v>
      </c>
      <c r="B221" s="6"/>
      <c r="C221" s="11">
        <f>EN213</f>
        <v>0</v>
      </c>
      <c r="D221" s="11">
        <f>EN214</f>
        <v>0</v>
      </c>
      <c r="E221" s="11">
        <f>C221-D221</f>
        <v>0</v>
      </c>
    </row>
    <row r="222" spans="1:157">
      <c r="A222" s="6" t="s">
        <v>269</v>
      </c>
      <c r="B222" s="6"/>
      <c r="C222" s="11">
        <f>EM213</f>
        <v>1714240.0399999996</v>
      </c>
      <c r="D222" s="11">
        <f>EM214</f>
        <v>1914240.0399999996</v>
      </c>
      <c r="E222" s="11">
        <f>D222-C222</f>
        <v>200000</v>
      </c>
    </row>
    <row r="223" spans="1:157">
      <c r="A223" s="6" t="s">
        <v>254</v>
      </c>
      <c r="B223" s="6"/>
      <c r="C223" s="11">
        <f>EN213</f>
        <v>0</v>
      </c>
      <c r="D223" s="11">
        <f>EN214</f>
        <v>0</v>
      </c>
      <c r="E223" s="11">
        <f>D223-C223</f>
        <v>0</v>
      </c>
    </row>
    <row r="224" spans="1:157">
      <c r="A224" s="6" t="s">
        <v>211</v>
      </c>
      <c r="B224" s="6"/>
      <c r="C224" s="11">
        <f>'6'!$C$22</f>
        <v>148296.81</v>
      </c>
      <c r="D224" s="11">
        <f>'6'!$F$22</f>
        <v>145557.09</v>
      </c>
      <c r="E224" s="11">
        <f>C224-D224</f>
        <v>2739.7200000000012</v>
      </c>
    </row>
    <row r="225" spans="1:157">
      <c r="A225" s="6" t="s">
        <v>212</v>
      </c>
      <c r="B225" s="6"/>
      <c r="C225" s="11">
        <f>'6'!$C$28</f>
        <v>599999.5</v>
      </c>
      <c r="D225" s="11">
        <f>'6'!$F$28</f>
        <v>499999.5</v>
      </c>
      <c r="E225" s="11">
        <f>C225-D225</f>
        <v>100000</v>
      </c>
    </row>
    <row r="226" spans="1:157">
      <c r="A226" s="6" t="s">
        <v>253</v>
      </c>
      <c r="B226" s="6"/>
      <c r="C226" s="11">
        <f>C224</f>
        <v>148296.81</v>
      </c>
      <c r="D226" s="11">
        <f>D224</f>
        <v>145557.09</v>
      </c>
      <c r="E226" s="11">
        <f>D226-C226</f>
        <v>-2739.7200000000012</v>
      </c>
    </row>
    <row r="227" spans="1:157">
      <c r="A227" s="6" t="s">
        <v>254</v>
      </c>
      <c r="B227" s="6"/>
      <c r="C227" s="11">
        <f>C225</f>
        <v>599999.5</v>
      </c>
      <c r="D227" s="11">
        <f>D225</f>
        <v>499999.5</v>
      </c>
      <c r="E227" s="11">
        <f>D227-C227</f>
        <v>-100000</v>
      </c>
    </row>
    <row r="228" spans="1:157">
      <c r="E228" s="5"/>
    </row>
    <row r="229" spans="1:157" ht="72">
      <c r="A229" s="6" t="s">
        <v>272</v>
      </c>
      <c r="C229" s="6" t="s">
        <v>163</v>
      </c>
      <c r="D229" t="s">
        <v>219</v>
      </c>
      <c r="E229">
        <v>0</v>
      </c>
      <c r="F229">
        <v>7424</v>
      </c>
      <c r="G229" t="s">
        <v>220</v>
      </c>
      <c r="H229" t="s">
        <v>221</v>
      </c>
      <c r="I229" t="s">
        <v>222</v>
      </c>
      <c r="K229" t="s">
        <v>222</v>
      </c>
      <c r="O229" t="s">
        <v>168</v>
      </c>
      <c r="P229" t="s">
        <v>169</v>
      </c>
      <c r="Q229" t="s">
        <v>170</v>
      </c>
      <c r="R229" t="s">
        <v>222</v>
      </c>
      <c r="S229" t="s">
        <v>171</v>
      </c>
      <c r="U229" t="s">
        <v>222</v>
      </c>
      <c r="V229" t="s">
        <v>222</v>
      </c>
      <c r="W229" t="s">
        <v>172</v>
      </c>
      <c r="X229" t="s">
        <v>173</v>
      </c>
      <c r="Y229" t="s">
        <v>174</v>
      </c>
      <c r="Z229" t="s">
        <v>223</v>
      </c>
      <c r="AA229" t="s">
        <v>224</v>
      </c>
      <c r="AB229" t="s">
        <v>176</v>
      </c>
      <c r="AC229" t="s">
        <v>177</v>
      </c>
      <c r="AD229" t="s">
        <v>178</v>
      </c>
      <c r="AE229" t="s">
        <v>179</v>
      </c>
      <c r="AF229" s="3">
        <v>45580</v>
      </c>
      <c r="AG229" s="3">
        <v>41456</v>
      </c>
      <c r="AH229" s="3">
        <v>45473</v>
      </c>
      <c r="AL229" s="14">
        <v>45838.958333333336</v>
      </c>
      <c r="AM229" s="3">
        <v>45473</v>
      </c>
      <c r="AN229" t="s">
        <v>180</v>
      </c>
      <c r="AP229" s="3">
        <v>45473</v>
      </c>
      <c r="AS229" t="s">
        <v>181</v>
      </c>
      <c r="AT229" t="s">
        <v>182</v>
      </c>
      <c r="AV229" t="s">
        <v>182</v>
      </c>
      <c r="AW229">
        <v>12164247</v>
      </c>
      <c r="AX229">
        <v>5378818.7800000003</v>
      </c>
      <c r="AY229">
        <v>0</v>
      </c>
      <c r="AZ229">
        <v>0</v>
      </c>
      <c r="BA229" t="s">
        <v>183</v>
      </c>
      <c r="BB229">
        <v>30</v>
      </c>
      <c r="BC229">
        <f>BB229*12</f>
        <v>360</v>
      </c>
      <c r="BD229">
        <v>10957.5</v>
      </c>
      <c r="BE229">
        <f>BG229/365</f>
        <v>13.158904109589042</v>
      </c>
      <c r="BF229">
        <f>BE229*12</f>
        <v>157.90684931506848</v>
      </c>
      <c r="BG229" s="16">
        <f>'7.1'!$D$47</f>
        <v>4803</v>
      </c>
      <c r="BI229" t="s">
        <v>225</v>
      </c>
      <c r="BN229">
        <v>1</v>
      </c>
      <c r="BO229">
        <v>0</v>
      </c>
      <c r="BP229">
        <v>0</v>
      </c>
      <c r="BY229" t="s">
        <v>185</v>
      </c>
      <c r="BZ229" t="s">
        <v>186</v>
      </c>
      <c r="CA229" t="s">
        <v>187</v>
      </c>
      <c r="CB229" t="s">
        <v>188</v>
      </c>
      <c r="CC229" t="s">
        <v>189</v>
      </c>
      <c r="CD229" t="s">
        <v>190</v>
      </c>
      <c r="CE229" t="s">
        <v>181</v>
      </c>
      <c r="CF229" t="s">
        <v>192</v>
      </c>
      <c r="CG229" t="s">
        <v>193</v>
      </c>
      <c r="CH229" t="s">
        <v>194</v>
      </c>
      <c r="CI229" t="s">
        <v>195</v>
      </c>
      <c r="CJ229" t="s">
        <v>196</v>
      </c>
      <c r="CK229" t="s">
        <v>197</v>
      </c>
      <c r="CN229" t="s">
        <v>198</v>
      </c>
      <c r="CU229">
        <v>-32.208987610000001</v>
      </c>
      <c r="CV229">
        <v>27.7945338</v>
      </c>
      <c r="CW229">
        <v>1162063.57</v>
      </c>
      <c r="CX229">
        <v>0</v>
      </c>
      <c r="CZ229" s="5"/>
      <c r="DA229" s="3">
        <v>45107</v>
      </c>
      <c r="DB229" s="5">
        <v>5535753.9299999997</v>
      </c>
      <c r="DC229" s="5">
        <f>'7.1'!$C$8</f>
        <v>5660048.5999999996</v>
      </c>
      <c r="DD229" s="5">
        <f>'7.1'!$D$31</f>
        <v>0</v>
      </c>
      <c r="DE229" s="5">
        <v>0</v>
      </c>
      <c r="DF229" s="5">
        <v>0</v>
      </c>
      <c r="DG229" s="5">
        <f>DD229+DE229</f>
        <v>0</v>
      </c>
      <c r="DH229" s="5">
        <v>0</v>
      </c>
      <c r="DI229" s="5">
        <v>0</v>
      </c>
      <c r="DJ229" s="5">
        <v>0</v>
      </c>
      <c r="DK229" s="5">
        <f>DC229-DO229</f>
        <v>4912398.5199999996</v>
      </c>
      <c r="DL229" s="5">
        <v>0</v>
      </c>
      <c r="DM229" s="5">
        <f>'7.1'!$D$21+'7.1'!$D$26</f>
        <v>374336.43</v>
      </c>
      <c r="DN229" s="5">
        <f>'7.1'!$D$38</f>
        <v>373313.65</v>
      </c>
      <c r="DO229" s="5">
        <f>DM229+DN229</f>
        <v>747650.08000000007</v>
      </c>
      <c r="DP229" s="5">
        <f>DK229</f>
        <v>4912398.5199999996</v>
      </c>
      <c r="DQ229" s="5" t="s">
        <v>187</v>
      </c>
      <c r="DR229" s="5">
        <f>'7.1'!$D$29</f>
        <v>12164247</v>
      </c>
      <c r="DS229" s="5">
        <f>'7.1'!$D$29</f>
        <v>12164247</v>
      </c>
      <c r="DT229" s="5">
        <v>0</v>
      </c>
      <c r="DU229" s="5">
        <v>1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12164247</v>
      </c>
      <c r="EE229" s="15">
        <f>'7.1'!$D$30</f>
        <v>6426382.120000002</v>
      </c>
      <c r="EF229" s="15">
        <f>'7.1'!$D$30</f>
        <v>6426382.120000002</v>
      </c>
      <c r="EG229" s="5">
        <f>'7.1'!$D$37</f>
        <v>405247.74</v>
      </c>
      <c r="EH229" s="5">
        <v>0</v>
      </c>
      <c r="EI229" s="5">
        <v>0</v>
      </c>
      <c r="EJ229" s="5">
        <v>0</v>
      </c>
      <c r="EK229" s="5">
        <f>EF229+EG229</f>
        <v>6831629.8600000022</v>
      </c>
      <c r="EL229" s="5">
        <f>'7.1'!$D$31</f>
        <v>0</v>
      </c>
      <c r="EM229" s="5">
        <f>'7.1'!$D$31</f>
        <v>0</v>
      </c>
      <c r="EN229" s="5">
        <v>0</v>
      </c>
      <c r="EO229" s="5">
        <v>0</v>
      </c>
      <c r="EP229" s="5">
        <v>0</v>
      </c>
      <c r="EQ229" s="5">
        <f>EM229+EN229</f>
        <v>0</v>
      </c>
      <c r="ER229" s="5">
        <f>ED229-EK229-EQ229</f>
        <v>5332617.1399999978</v>
      </c>
      <c r="ES229" s="5">
        <v>0</v>
      </c>
      <c r="ET229" s="5">
        <v>0</v>
      </c>
      <c r="EZ229" t="s">
        <v>170</v>
      </c>
      <c r="FA229" t="s">
        <v>226</v>
      </c>
    </row>
    <row r="230" spans="1:157" ht="72">
      <c r="A230" s="6" t="s">
        <v>272</v>
      </c>
      <c r="C230" s="6" t="s">
        <v>200</v>
      </c>
      <c r="D230" t="s">
        <v>219</v>
      </c>
      <c r="E230">
        <v>0</v>
      </c>
      <c r="F230">
        <v>7424</v>
      </c>
      <c r="G230" t="s">
        <v>220</v>
      </c>
      <c r="H230" t="s">
        <v>221</v>
      </c>
      <c r="I230" t="s">
        <v>222</v>
      </c>
      <c r="K230" t="s">
        <v>222</v>
      </c>
      <c r="O230" t="s">
        <v>168</v>
      </c>
      <c r="P230" t="s">
        <v>169</v>
      </c>
      <c r="Q230" t="s">
        <v>170</v>
      </c>
      <c r="R230" t="s">
        <v>222</v>
      </c>
      <c r="S230" t="s">
        <v>171</v>
      </c>
      <c r="U230" t="s">
        <v>222</v>
      </c>
      <c r="V230" t="s">
        <v>222</v>
      </c>
      <c r="W230" t="s">
        <v>172</v>
      </c>
      <c r="X230" t="s">
        <v>173</v>
      </c>
      <c r="Y230" t="s">
        <v>174</v>
      </c>
      <c r="Z230" t="s">
        <v>223</v>
      </c>
      <c r="AA230" t="s">
        <v>224</v>
      </c>
      <c r="AB230" t="s">
        <v>176</v>
      </c>
      <c r="AC230" t="s">
        <v>177</v>
      </c>
      <c r="AD230" t="s">
        <v>178</v>
      </c>
      <c r="AE230" t="s">
        <v>179</v>
      </c>
      <c r="AF230" s="3">
        <v>45580</v>
      </c>
      <c r="AG230" s="3">
        <v>41456</v>
      </c>
      <c r="AH230" s="3">
        <v>45473</v>
      </c>
      <c r="AK230" s="30">
        <f>'7.1'!C16</f>
        <v>45463</v>
      </c>
      <c r="AL230" s="14">
        <v>45838.958333333336</v>
      </c>
      <c r="AM230" s="3">
        <v>45473</v>
      </c>
      <c r="AN230" t="s">
        <v>180</v>
      </c>
      <c r="AP230" s="3">
        <v>45473</v>
      </c>
      <c r="AS230" t="s">
        <v>181</v>
      </c>
      <c r="AT230" t="s">
        <v>182</v>
      </c>
      <c r="AV230" t="s">
        <v>182</v>
      </c>
      <c r="AW230">
        <v>12164247</v>
      </c>
      <c r="AX230">
        <v>5378818.7800000003</v>
      </c>
      <c r="AY230">
        <v>0</v>
      </c>
      <c r="AZ230">
        <v>0</v>
      </c>
      <c r="BA230" t="s">
        <v>183</v>
      </c>
      <c r="BB230">
        <v>30</v>
      </c>
      <c r="BC230">
        <f>BB230*12</f>
        <v>360</v>
      </c>
      <c r="BD230">
        <v>10957.5</v>
      </c>
      <c r="BE230">
        <f>BG230/365</f>
        <v>4.978082191780822</v>
      </c>
      <c r="BF230">
        <f>BE230*12</f>
        <v>59.736986301369868</v>
      </c>
      <c r="BG230" s="16">
        <f>'7.1'!$E$47</f>
        <v>1817</v>
      </c>
      <c r="BI230" t="s">
        <v>225</v>
      </c>
      <c r="BN230">
        <v>1</v>
      </c>
      <c r="BO230">
        <v>0</v>
      </c>
      <c r="BP230">
        <v>0</v>
      </c>
      <c r="BY230" t="s">
        <v>185</v>
      </c>
      <c r="BZ230" t="s">
        <v>186</v>
      </c>
      <c r="CA230" t="s">
        <v>187</v>
      </c>
      <c r="CB230" t="s">
        <v>188</v>
      </c>
      <c r="CC230" t="s">
        <v>189</v>
      </c>
      <c r="CD230" t="s">
        <v>190</v>
      </c>
      <c r="CE230" t="s">
        <v>181</v>
      </c>
      <c r="CF230" t="s">
        <v>192</v>
      </c>
      <c r="CG230" t="s">
        <v>193</v>
      </c>
      <c r="CH230" t="s">
        <v>194</v>
      </c>
      <c r="CI230" t="s">
        <v>195</v>
      </c>
      <c r="CJ230" t="s">
        <v>196</v>
      </c>
      <c r="CK230" t="s">
        <v>197</v>
      </c>
      <c r="CN230" t="s">
        <v>198</v>
      </c>
      <c r="CU230">
        <v>-32.208987610000001</v>
      </c>
      <c r="CV230">
        <v>27.7945338</v>
      </c>
      <c r="CW230">
        <v>1162063.57</v>
      </c>
      <c r="CX230">
        <v>0</v>
      </c>
      <c r="CZ230" s="5"/>
      <c r="DA230" s="3">
        <v>45107</v>
      </c>
      <c r="DB230" s="5">
        <v>5535753.9299999997</v>
      </c>
      <c r="DC230" s="5">
        <f>'7.1'!$C$8</f>
        <v>5660048.5999999996</v>
      </c>
      <c r="DD230" s="5">
        <f>'7.1'!$E$31</f>
        <v>2748252.0299999984</v>
      </c>
      <c r="DE230" s="5">
        <v>0</v>
      </c>
      <c r="DF230" s="5">
        <v>0</v>
      </c>
      <c r="DG230" s="5">
        <f>DD230+DE230</f>
        <v>2748252.0299999984</v>
      </c>
      <c r="DH230" s="5">
        <v>0</v>
      </c>
      <c r="DI230" s="5">
        <v>0</v>
      </c>
      <c r="DJ230" s="5">
        <v>0</v>
      </c>
      <c r="DK230" s="5">
        <f>DC230-DO230-DG230</f>
        <v>2111838.0200000014</v>
      </c>
      <c r="DL230" s="5">
        <v>0</v>
      </c>
      <c r="DM230" s="5">
        <f>'7.1'!$E$21+'7.1'!$E$26</f>
        <v>375731.31999999995</v>
      </c>
      <c r="DN230" s="5">
        <f>'7.1'!$E$38</f>
        <v>424227.23</v>
      </c>
      <c r="DO230" s="5">
        <f>DM230+DN230</f>
        <v>799958.54999999993</v>
      </c>
      <c r="DP230" s="5">
        <f>DK230</f>
        <v>2111838.0200000014</v>
      </c>
      <c r="DQ230" s="5" t="s">
        <v>187</v>
      </c>
      <c r="DR230" s="5">
        <f>'7.1'!$E$29</f>
        <v>12164247</v>
      </c>
      <c r="DS230" s="5">
        <f>'7.1'!$E$29</f>
        <v>12164247</v>
      </c>
      <c r="DT230" s="5">
        <v>0</v>
      </c>
      <c r="DU230" s="5">
        <v>1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12164247</v>
      </c>
      <c r="EE230" s="15">
        <f>'7.1'!$E$30</f>
        <v>6429681.1000000015</v>
      </c>
      <c r="EF230" s="15">
        <f>'7.1'!$E$30</f>
        <v>6429681.1000000015</v>
      </c>
      <c r="EG230" s="5">
        <f>'7.1'!$E$37</f>
        <v>499543.63</v>
      </c>
      <c r="EH230" s="5">
        <v>0</v>
      </c>
      <c r="EI230" s="5">
        <v>0</v>
      </c>
      <c r="EJ230" s="5">
        <v>0</v>
      </c>
      <c r="EK230" s="5">
        <f>EF230+EG230</f>
        <v>6929224.7300000014</v>
      </c>
      <c r="EL230" s="5">
        <f>'7.1'!$E$31</f>
        <v>2748252.0299999984</v>
      </c>
      <c r="EM230" s="5">
        <f>'7.1'!$E$31</f>
        <v>2748252.0299999984</v>
      </c>
      <c r="EN230" s="5">
        <v>0</v>
      </c>
      <c r="EO230" s="5">
        <v>0</v>
      </c>
      <c r="EP230" s="5">
        <v>0</v>
      </c>
      <c r="EQ230" s="5">
        <f>EM230+EN230</f>
        <v>2748252.0299999984</v>
      </c>
      <c r="ER230" s="5">
        <f>ED230-EK230-EQ230</f>
        <v>2486770.2400000002</v>
      </c>
      <c r="ES230" s="5">
        <v>0</v>
      </c>
      <c r="ET230" s="5">
        <v>0</v>
      </c>
      <c r="EZ230" t="s">
        <v>170</v>
      </c>
      <c r="FA230" t="s">
        <v>226</v>
      </c>
    </row>
    <row r="231" spans="1:157">
      <c r="D231" s="3"/>
    </row>
    <row r="232" spans="1:157">
      <c r="A232" s="6" t="s">
        <v>273</v>
      </c>
      <c r="B232" s="3">
        <v>45107</v>
      </c>
      <c r="C232" t="s">
        <v>274</v>
      </c>
      <c r="D232" s="3">
        <v>45473</v>
      </c>
    </row>
    <row r="233" spans="1:157">
      <c r="A233" s="6" t="s">
        <v>275</v>
      </c>
      <c r="B233" s="3">
        <v>45463</v>
      </c>
      <c r="C233" t="s">
        <v>276</v>
      </c>
      <c r="D233" s="3">
        <v>45838</v>
      </c>
    </row>
    <row r="234" spans="1:157" ht="15" thickBot="1">
      <c r="A234" s="6" t="s">
        <v>227</v>
      </c>
      <c r="B234" s="15">
        <v>-5660048.5999999996</v>
      </c>
      <c r="C234" s="3"/>
      <c r="D234" s="3"/>
      <c r="DC234" s="8">
        <f>DC229-DC230</f>
        <v>0</v>
      </c>
      <c r="DD234" s="8">
        <f t="shared" ref="DD234:DP234" si="35">DD229-DD230</f>
        <v>-2748252.0299999984</v>
      </c>
      <c r="DE234" s="8">
        <f t="shared" si="35"/>
        <v>0</v>
      </c>
      <c r="DF234" s="8">
        <f t="shared" si="35"/>
        <v>0</v>
      </c>
      <c r="DG234" s="8">
        <f t="shared" si="35"/>
        <v>-2748252.0299999984</v>
      </c>
      <c r="DH234" s="8">
        <f t="shared" si="35"/>
        <v>0</v>
      </c>
      <c r="DI234" s="8">
        <f t="shared" si="35"/>
        <v>0</v>
      </c>
      <c r="DJ234" s="8">
        <f t="shared" si="35"/>
        <v>0</v>
      </c>
      <c r="DK234" s="8">
        <f t="shared" si="35"/>
        <v>2800560.4999999981</v>
      </c>
      <c r="DL234" s="8">
        <f t="shared" si="35"/>
        <v>0</v>
      </c>
      <c r="DM234" s="8">
        <f t="shared" si="35"/>
        <v>-1394.8899999999558</v>
      </c>
      <c r="DN234" s="8">
        <f t="shared" si="35"/>
        <v>-50913.579999999958</v>
      </c>
      <c r="DO234" s="8">
        <f t="shared" si="35"/>
        <v>-52308.469999999856</v>
      </c>
      <c r="DP234" s="8">
        <f t="shared" si="35"/>
        <v>2800560.4999999981</v>
      </c>
      <c r="DR234" s="8">
        <f t="shared" ref="DR234:ED234" si="36">DR229-DR230</f>
        <v>0</v>
      </c>
      <c r="DS234" s="8">
        <f t="shared" si="36"/>
        <v>0</v>
      </c>
      <c r="DT234" s="8">
        <f t="shared" si="36"/>
        <v>0</v>
      </c>
      <c r="DU234" s="8">
        <f t="shared" si="36"/>
        <v>0</v>
      </c>
      <c r="DV234" s="8">
        <f t="shared" si="36"/>
        <v>0</v>
      </c>
      <c r="DW234" s="8">
        <f t="shared" si="36"/>
        <v>0</v>
      </c>
      <c r="DX234" s="8">
        <f t="shared" si="36"/>
        <v>0</v>
      </c>
      <c r="DY234" s="8">
        <f t="shared" si="36"/>
        <v>0</v>
      </c>
      <c r="DZ234" s="8">
        <f t="shared" si="36"/>
        <v>0</v>
      </c>
      <c r="EA234" s="8">
        <f t="shared" si="36"/>
        <v>0</v>
      </c>
      <c r="EB234" s="8">
        <f t="shared" si="36"/>
        <v>0</v>
      </c>
      <c r="EC234" s="8">
        <f t="shared" si="36"/>
        <v>0</v>
      </c>
      <c r="ED234" s="8">
        <f t="shared" si="36"/>
        <v>0</v>
      </c>
      <c r="EF234" s="8">
        <f>EF229-EF230</f>
        <v>-3298.9799999995157</v>
      </c>
      <c r="EG234" s="8">
        <f>EG229-EG230</f>
        <v>-94295.890000000014</v>
      </c>
      <c r="EK234" s="8">
        <f>EK229-EK230</f>
        <v>-97594.86999999918</v>
      </c>
      <c r="EL234" s="8">
        <f t="shared" ref="EL234:EM234" si="37">EL229-EL230</f>
        <v>-2748252.0299999984</v>
      </c>
      <c r="EM234" s="8">
        <f t="shared" si="37"/>
        <v>-2748252.0299999984</v>
      </c>
      <c r="EQ234" s="8">
        <f>EQ229-EQ230</f>
        <v>-2748252.0299999984</v>
      </c>
      <c r="ER234" s="8">
        <f>ER229-ER230</f>
        <v>2845846.8999999976</v>
      </c>
    </row>
    <row r="235" spans="1:157" ht="15" thickTop="1">
      <c r="A235" s="6" t="s">
        <v>228</v>
      </c>
      <c r="B235" s="15">
        <v>12164247</v>
      </c>
      <c r="D235" s="3"/>
      <c r="E235" s="5"/>
      <c r="F235" s="5"/>
    </row>
    <row r="236" spans="1:157">
      <c r="A236" s="6" t="s">
        <v>229</v>
      </c>
      <c r="B236" s="15">
        <v>6020788.8300000019</v>
      </c>
      <c r="C236" s="15">
        <v>7500500</v>
      </c>
      <c r="D236" s="1">
        <f>ROUND(C236/B238*B237,2)</f>
        <v>14851233.960000001</v>
      </c>
      <c r="E236" s="5">
        <f>D236-C236</f>
        <v>7350733.9600000009</v>
      </c>
      <c r="F236" s="5">
        <f>C236-C237</f>
        <v>1357041.8300000019</v>
      </c>
    </row>
    <row r="237" spans="1:157">
      <c r="A237" s="6" t="s">
        <v>230</v>
      </c>
      <c r="B237" s="17">
        <v>10957.5</v>
      </c>
      <c r="C237" s="5">
        <f>B235-B236</f>
        <v>6143458.1699999981</v>
      </c>
      <c r="D237" s="5">
        <f>ROUND(C237/5534*10957.5,2)</f>
        <v>12164247</v>
      </c>
      <c r="E237" s="5">
        <f>D237-C237</f>
        <v>6020788.8300000019</v>
      </c>
      <c r="F237" s="5">
        <f>-B234+F236</f>
        <v>7017090.4300000016</v>
      </c>
    </row>
    <row r="238" spans="1:157">
      <c r="A238" s="6" t="s">
        <v>231</v>
      </c>
      <c r="B238" s="16">
        <v>5534</v>
      </c>
      <c r="C238" t="s">
        <v>277</v>
      </c>
      <c r="D238">
        <v>2192</v>
      </c>
      <c r="E238" s="5"/>
    </row>
    <row r="239" spans="1:157">
      <c r="A239" s="6" t="s">
        <v>232</v>
      </c>
      <c r="B239" s="5">
        <v>4318557.7399999984</v>
      </c>
      <c r="E239" s="5"/>
    </row>
    <row r="240" spans="1:157">
      <c r="A240" s="6" t="s">
        <v>233</v>
      </c>
      <c r="B240" s="5">
        <v>-3835148.1699999995</v>
      </c>
      <c r="E240" s="5"/>
    </row>
    <row r="241" spans="1:7">
      <c r="A241" s="6" t="s">
        <v>234</v>
      </c>
      <c r="B241" s="5">
        <f>C237-B239</f>
        <v>1824900.4299999997</v>
      </c>
      <c r="E241" s="5"/>
    </row>
    <row r="242" spans="1:7">
      <c r="A242" s="6" t="s">
        <v>235</v>
      </c>
      <c r="B242" s="5">
        <f>B234-B240</f>
        <v>-1824900.4300000002</v>
      </c>
      <c r="E242" s="5"/>
    </row>
    <row r="243" spans="1:7">
      <c r="B243" s="5"/>
      <c r="E243" s="5"/>
    </row>
    <row r="244" spans="1:7">
      <c r="A244" s="9" t="s">
        <v>202</v>
      </c>
      <c r="C244" s="9" t="s">
        <v>203</v>
      </c>
      <c r="D244" s="10" t="s">
        <v>204</v>
      </c>
      <c r="E244" s="10" t="s">
        <v>205</v>
      </c>
    </row>
    <row r="245" spans="1:7">
      <c r="A245" s="18" t="s">
        <v>278</v>
      </c>
      <c r="C245" s="11"/>
      <c r="D245" s="11"/>
      <c r="E245" s="11"/>
    </row>
    <row r="246" spans="1:7">
      <c r="A246" t="s">
        <v>237</v>
      </c>
      <c r="C246" s="11">
        <f>'7.1'!$C$8</f>
        <v>5660048.5999999996</v>
      </c>
      <c r="D246" s="11">
        <f>'7.1'!$C$8</f>
        <v>5660048.5999999996</v>
      </c>
      <c r="E246" s="11">
        <f>D246-C246</f>
        <v>0</v>
      </c>
      <c r="G246" s="5"/>
    </row>
    <row r="247" spans="1:7">
      <c r="A247" t="s">
        <v>238</v>
      </c>
      <c r="C247" s="11">
        <f>'7.1'!$C$5</f>
        <v>12164247</v>
      </c>
      <c r="D247" s="11">
        <f>'7.1'!$C$5</f>
        <v>12164247</v>
      </c>
      <c r="E247" s="11">
        <f>C247-D247</f>
        <v>0</v>
      </c>
      <c r="G247" s="5"/>
    </row>
    <row r="248" spans="1:7">
      <c r="A248" t="s">
        <v>229</v>
      </c>
      <c r="C248" s="11">
        <f>'7.1'!$C$6</f>
        <v>6020788.8300000019</v>
      </c>
      <c r="D248" s="11">
        <f>'7.1'!$C$6</f>
        <v>6020788.8300000019</v>
      </c>
      <c r="E248" s="11">
        <f>D248-C248</f>
        <v>0</v>
      </c>
      <c r="G248" s="5"/>
    </row>
    <row r="249" spans="1:7" ht="15" thickBot="1">
      <c r="C249" s="11"/>
      <c r="D249" s="11"/>
      <c r="E249" s="32">
        <f>SUM(E246:E248)</f>
        <v>0</v>
      </c>
    </row>
    <row r="250" spans="1:7" ht="15" thickTop="1">
      <c r="A250" t="s">
        <v>279</v>
      </c>
      <c r="C250" s="11"/>
      <c r="D250" s="11"/>
      <c r="E250" s="11"/>
    </row>
    <row r="251" spans="1:7">
      <c r="A251" t="s">
        <v>280</v>
      </c>
      <c r="C251" s="11">
        <f>'7.1'!$D$21+'7.1'!$D$26</f>
        <v>374336.43</v>
      </c>
      <c r="D251" s="11">
        <f>'7.1'!$E$21+'7.1'!$E$26</f>
        <v>375731.31999999995</v>
      </c>
      <c r="E251" s="11">
        <f>D251-C251</f>
        <v>1394.8899999999558</v>
      </c>
    </row>
    <row r="252" spans="1:7">
      <c r="A252" t="s">
        <v>281</v>
      </c>
      <c r="C252" s="11">
        <f>'7.1'!$D$38</f>
        <v>373313.65</v>
      </c>
      <c r="D252" s="11">
        <f>'7.1'!$E$38</f>
        <v>424227.23</v>
      </c>
      <c r="E252" s="11">
        <f t="shared" ref="E252:E254" si="38">D252-C252</f>
        <v>50913.579999999958</v>
      </c>
    </row>
    <row r="253" spans="1:7">
      <c r="A253" t="s">
        <v>282</v>
      </c>
      <c r="C253" s="5"/>
      <c r="D253" s="5"/>
      <c r="E253" s="22"/>
      <c r="F253" s="31"/>
    </row>
    <row r="254" spans="1:7" ht="129.6">
      <c r="A254" t="s">
        <v>283</v>
      </c>
      <c r="C254" s="5">
        <f>'7.1'!$D$23</f>
        <v>0</v>
      </c>
      <c r="D254" s="5">
        <f>'7.1'!$E$23</f>
        <v>2748252.0299999984</v>
      </c>
      <c r="E254" s="22">
        <f t="shared" si="38"/>
        <v>2748252.0299999984</v>
      </c>
      <c r="F254" s="23" t="s">
        <v>284</v>
      </c>
    </row>
    <row r="255" spans="1:7">
      <c r="A255" t="s">
        <v>285</v>
      </c>
      <c r="C255" s="5"/>
      <c r="D255" s="5"/>
      <c r="E255" s="22"/>
      <c r="F255" s="23"/>
    </row>
    <row r="256" spans="1:7">
      <c r="A256" t="s">
        <v>242</v>
      </c>
      <c r="C256" s="5"/>
      <c r="D256" s="5"/>
      <c r="E256" s="5"/>
      <c r="F256" s="6"/>
    </row>
    <row r="257" spans="1:157">
      <c r="A257" t="s">
        <v>243</v>
      </c>
      <c r="C257" s="11">
        <f>'7.1'!$D$20+'7.1'!$D$25</f>
        <v>405593.29000000004</v>
      </c>
      <c r="D257" s="11">
        <f>'7.1'!$E$20+'7.1'!$E$25</f>
        <v>408892.27</v>
      </c>
      <c r="E257" s="11">
        <f>C257-D257</f>
        <v>-3298.9799999999814</v>
      </c>
    </row>
    <row r="258" spans="1:157">
      <c r="A258" t="s">
        <v>244</v>
      </c>
      <c r="C258" s="11">
        <f>'7.1'!D37</f>
        <v>405247.74</v>
      </c>
      <c r="D258" s="11">
        <f>'7.1'!E37</f>
        <v>499543.63</v>
      </c>
      <c r="E258" s="11">
        <f>C258-D258</f>
        <v>-94295.890000000014</v>
      </c>
    </row>
    <row r="259" spans="1:157">
      <c r="A259" t="s">
        <v>286</v>
      </c>
      <c r="C259" s="11"/>
      <c r="D259" s="11"/>
      <c r="E259" s="11"/>
    </row>
    <row r="260" spans="1:157">
      <c r="A260" t="s">
        <v>287</v>
      </c>
      <c r="C260" s="11">
        <f>'7.1'!$D$23</f>
        <v>0</v>
      </c>
      <c r="D260" s="11">
        <f>'7.1'!$E$23</f>
        <v>2748252.0299999984</v>
      </c>
      <c r="E260" s="11">
        <f>C260-D260</f>
        <v>-2748252.0299999984</v>
      </c>
    </row>
    <row r="261" spans="1:157">
      <c r="A261" t="s">
        <v>288</v>
      </c>
      <c r="C261" s="11"/>
      <c r="D261" s="11"/>
      <c r="E261" s="11"/>
    </row>
    <row r="262" spans="1:157">
      <c r="A262" t="s">
        <v>289</v>
      </c>
      <c r="C262" s="11"/>
      <c r="D262" s="11"/>
      <c r="E262" s="11">
        <f>-E251</f>
        <v>-1394.8899999999558</v>
      </c>
    </row>
    <row r="263" spans="1:157">
      <c r="A263" t="s">
        <v>290</v>
      </c>
      <c r="C263" s="11"/>
      <c r="D263" s="11"/>
      <c r="E263" s="11">
        <f>-E252</f>
        <v>-50913.579999999958</v>
      </c>
    </row>
    <row r="264" spans="1:157">
      <c r="A264" t="s">
        <v>291</v>
      </c>
      <c r="C264" s="11"/>
      <c r="D264" s="11"/>
      <c r="E264" s="11">
        <f>-E257</f>
        <v>3298.9799999999814</v>
      </c>
    </row>
    <row r="265" spans="1:157">
      <c r="A265" t="s">
        <v>292</v>
      </c>
      <c r="C265" s="11"/>
      <c r="D265" s="11"/>
      <c r="E265" s="11">
        <f>-E258</f>
        <v>94295.890000000014</v>
      </c>
    </row>
    <row r="266" spans="1:157">
      <c r="E266" s="5"/>
    </row>
    <row r="267" spans="1:157" ht="72">
      <c r="A267" s="6" t="s">
        <v>293</v>
      </c>
      <c r="C267" s="6" t="s">
        <v>163</v>
      </c>
      <c r="D267" t="s">
        <v>219</v>
      </c>
      <c r="E267">
        <v>0</v>
      </c>
      <c r="F267">
        <v>7424</v>
      </c>
      <c r="G267" t="s">
        <v>220</v>
      </c>
      <c r="H267" t="s">
        <v>221</v>
      </c>
      <c r="I267" t="s">
        <v>222</v>
      </c>
      <c r="K267" t="s">
        <v>222</v>
      </c>
      <c r="O267" t="s">
        <v>168</v>
      </c>
      <c r="P267" t="s">
        <v>169</v>
      </c>
      <c r="Q267" t="s">
        <v>170</v>
      </c>
      <c r="R267" t="s">
        <v>222</v>
      </c>
      <c r="S267" t="s">
        <v>171</v>
      </c>
      <c r="U267" t="s">
        <v>222</v>
      </c>
      <c r="V267" t="s">
        <v>222</v>
      </c>
      <c r="W267" t="s">
        <v>172</v>
      </c>
      <c r="X267" t="s">
        <v>173</v>
      </c>
      <c r="Y267" t="s">
        <v>174</v>
      </c>
      <c r="Z267" t="s">
        <v>223</v>
      </c>
      <c r="AA267" t="s">
        <v>224</v>
      </c>
      <c r="AB267" t="s">
        <v>176</v>
      </c>
      <c r="AC267" t="s">
        <v>177</v>
      </c>
      <c r="AD267" t="s">
        <v>178</v>
      </c>
      <c r="AE267" t="s">
        <v>179</v>
      </c>
      <c r="AF267" s="3">
        <v>45580</v>
      </c>
      <c r="AG267" s="3">
        <v>41456</v>
      </c>
      <c r="AH267" s="3">
        <v>45473</v>
      </c>
      <c r="AL267" s="14">
        <v>45838.958333333336</v>
      </c>
      <c r="AM267" s="3">
        <v>45473</v>
      </c>
      <c r="AN267" t="s">
        <v>180</v>
      </c>
      <c r="AP267" s="3">
        <v>45473</v>
      </c>
      <c r="AS267" t="s">
        <v>181</v>
      </c>
      <c r="AT267" t="s">
        <v>182</v>
      </c>
      <c r="AV267" t="s">
        <v>182</v>
      </c>
      <c r="AW267">
        <v>12164247</v>
      </c>
      <c r="AX267">
        <v>5378818.7800000003</v>
      </c>
      <c r="AY267">
        <v>0</v>
      </c>
      <c r="AZ267">
        <v>0</v>
      </c>
      <c r="BA267" t="s">
        <v>183</v>
      </c>
      <c r="BB267">
        <v>30</v>
      </c>
      <c r="BC267">
        <f>BB267*12</f>
        <v>360</v>
      </c>
      <c r="BD267">
        <v>10957.5</v>
      </c>
      <c r="BE267">
        <f t="shared" ref="BE267:BE268" si="39">BG267/365</f>
        <v>4.978082191780822</v>
      </c>
      <c r="BF267">
        <f t="shared" ref="BF267:BF268" si="40">BE267*12</f>
        <v>59.736986301369868</v>
      </c>
      <c r="BG267" s="16">
        <f>'7.2'!$D$48</f>
        <v>1817</v>
      </c>
      <c r="BI267" t="s">
        <v>225</v>
      </c>
      <c r="BN267">
        <v>1</v>
      </c>
      <c r="BO267">
        <v>0</v>
      </c>
      <c r="BP267">
        <v>0</v>
      </c>
      <c r="BY267" t="s">
        <v>185</v>
      </c>
      <c r="BZ267" t="s">
        <v>186</v>
      </c>
      <c r="CA267" t="s">
        <v>187</v>
      </c>
      <c r="CB267" t="s">
        <v>188</v>
      </c>
      <c r="CC267" t="s">
        <v>189</v>
      </c>
      <c r="CD267" t="s">
        <v>190</v>
      </c>
      <c r="CE267" t="s">
        <v>181</v>
      </c>
      <c r="CF267" t="s">
        <v>192</v>
      </c>
      <c r="CG267" t="s">
        <v>193</v>
      </c>
      <c r="CH267" t="s">
        <v>194</v>
      </c>
      <c r="CI267" t="s">
        <v>195</v>
      </c>
      <c r="CJ267" t="s">
        <v>196</v>
      </c>
      <c r="CK267" t="s">
        <v>197</v>
      </c>
      <c r="CN267" t="s">
        <v>198</v>
      </c>
      <c r="CU267">
        <v>-32.208987610000001</v>
      </c>
      <c r="CV267">
        <v>27.7945338</v>
      </c>
      <c r="CW267">
        <v>1162063.57</v>
      </c>
      <c r="CX267">
        <v>0</v>
      </c>
      <c r="CZ267" s="5"/>
      <c r="DA267" s="3">
        <v>45107</v>
      </c>
      <c r="DB267" s="5">
        <v>5535753.9299999997</v>
      </c>
      <c r="DC267" s="5">
        <f>'7.2'!$C$8</f>
        <v>5660048.5999999996</v>
      </c>
      <c r="DD267" s="5">
        <f>'7.2'!$D$24</f>
        <v>2748252.0299999984</v>
      </c>
      <c r="DE267" s="5">
        <v>0</v>
      </c>
      <c r="DF267" s="5">
        <v>0</v>
      </c>
      <c r="DG267" s="5">
        <f>DD267+DE267</f>
        <v>2748252.0299999984</v>
      </c>
      <c r="DH267" s="5">
        <v>0</v>
      </c>
      <c r="DI267" s="5">
        <v>0</v>
      </c>
      <c r="DJ267" s="5">
        <v>0</v>
      </c>
      <c r="DK267" s="5">
        <f>DC267-DO267-DG267</f>
        <v>2111838.0200000014</v>
      </c>
      <c r="DL267" s="5">
        <v>0</v>
      </c>
      <c r="DM267" s="5">
        <f>'7.2'!$D$22+'7.2'!$D$27</f>
        <v>375731.31999999995</v>
      </c>
      <c r="DN267" s="5">
        <f>'7.2'!$D$39</f>
        <v>424227.23</v>
      </c>
      <c r="DO267" s="5">
        <f>DM267+DN267</f>
        <v>799958.54999999993</v>
      </c>
      <c r="DP267" s="5">
        <f>DK267</f>
        <v>2111838.0200000014</v>
      </c>
      <c r="DQ267" s="5" t="s">
        <v>187</v>
      </c>
      <c r="DR267" s="5">
        <f>'7.2'!$D$30</f>
        <v>12164247</v>
      </c>
      <c r="DS267" s="5">
        <f>'7.2'!$D$30</f>
        <v>12164247</v>
      </c>
      <c r="DT267" s="5">
        <v>0</v>
      </c>
      <c r="DU267" s="5">
        <v>1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12164247</v>
      </c>
      <c r="EE267" s="15">
        <f>'7.2'!$D$31</f>
        <v>6429681.1000000015</v>
      </c>
      <c r="EF267" s="15">
        <f>'7.2'!$D$31</f>
        <v>6429681.1000000015</v>
      </c>
      <c r="EG267" s="5">
        <f>'7.2'!$D$38</f>
        <v>499543.63</v>
      </c>
      <c r="EH267" s="5">
        <v>0</v>
      </c>
      <c r="EI267" s="5">
        <v>0</v>
      </c>
      <c r="EJ267" s="5">
        <v>0</v>
      </c>
      <c r="EK267" s="5">
        <f>EF267+EG267</f>
        <v>6929224.7300000014</v>
      </c>
      <c r="EL267" s="5">
        <f>'7.2'!$D$32</f>
        <v>2748252.0299999984</v>
      </c>
      <c r="EM267" s="5">
        <f>'7.2'!$D$32</f>
        <v>2748252.0299999984</v>
      </c>
      <c r="EN267" s="5">
        <v>0</v>
      </c>
      <c r="EO267" s="5">
        <v>0</v>
      </c>
      <c r="EP267" s="5">
        <v>0</v>
      </c>
      <c r="EQ267" s="5">
        <f>EM267+EN267</f>
        <v>2748252.0299999984</v>
      </c>
      <c r="ER267" s="5">
        <f>ED267-EK267-EQ267</f>
        <v>2486770.2400000002</v>
      </c>
      <c r="ES267" s="5">
        <v>0</v>
      </c>
      <c r="ET267" s="5">
        <v>0</v>
      </c>
      <c r="EZ267" t="s">
        <v>170</v>
      </c>
      <c r="FA267" t="s">
        <v>226</v>
      </c>
    </row>
    <row r="268" spans="1:157" ht="72">
      <c r="A268" s="6" t="s">
        <v>293</v>
      </c>
      <c r="C268" s="6" t="s">
        <v>200</v>
      </c>
      <c r="D268" t="s">
        <v>219</v>
      </c>
      <c r="E268">
        <v>0</v>
      </c>
      <c r="F268">
        <v>7424</v>
      </c>
      <c r="G268" t="s">
        <v>220</v>
      </c>
      <c r="H268" t="s">
        <v>221</v>
      </c>
      <c r="I268" t="s">
        <v>222</v>
      </c>
      <c r="K268" t="s">
        <v>222</v>
      </c>
      <c r="O268" t="s">
        <v>168</v>
      </c>
      <c r="P268" t="s">
        <v>169</v>
      </c>
      <c r="Q268" t="s">
        <v>170</v>
      </c>
      <c r="R268" t="s">
        <v>222</v>
      </c>
      <c r="S268" t="s">
        <v>171</v>
      </c>
      <c r="U268" t="s">
        <v>222</v>
      </c>
      <c r="V268" t="s">
        <v>222</v>
      </c>
      <c r="W268" t="s">
        <v>172</v>
      </c>
      <c r="X268" t="s">
        <v>173</v>
      </c>
      <c r="Y268" t="s">
        <v>174</v>
      </c>
      <c r="Z268" t="s">
        <v>223</v>
      </c>
      <c r="AA268" t="s">
        <v>224</v>
      </c>
      <c r="AB268" t="s">
        <v>176</v>
      </c>
      <c r="AC268" t="s">
        <v>177</v>
      </c>
      <c r="AD268" t="s">
        <v>178</v>
      </c>
      <c r="AE268" t="s">
        <v>179</v>
      </c>
      <c r="AF268" s="3">
        <v>45580</v>
      </c>
      <c r="AG268" s="3">
        <v>41456</v>
      </c>
      <c r="AH268" s="3">
        <v>45473</v>
      </c>
      <c r="AL268" s="14">
        <v>45838.958333333336</v>
      </c>
      <c r="AM268" s="3">
        <v>45473</v>
      </c>
      <c r="AN268" t="s">
        <v>180</v>
      </c>
      <c r="AP268" s="3">
        <v>45473</v>
      </c>
      <c r="AS268" t="s">
        <v>181</v>
      </c>
      <c r="AT268" t="s">
        <v>182</v>
      </c>
      <c r="AV268" t="s">
        <v>182</v>
      </c>
      <c r="AW268">
        <v>12164247</v>
      </c>
      <c r="AX268">
        <v>5378818.7800000003</v>
      </c>
      <c r="AY268">
        <v>0</v>
      </c>
      <c r="AZ268">
        <v>0</v>
      </c>
      <c r="BA268" t="s">
        <v>183</v>
      </c>
      <c r="BB268">
        <v>30</v>
      </c>
      <c r="BC268">
        <f>BB268*12</f>
        <v>360</v>
      </c>
      <c r="BD268">
        <v>10957.5</v>
      </c>
      <c r="BE268">
        <f t="shared" si="39"/>
        <v>4.978082191780822</v>
      </c>
      <c r="BF268">
        <f t="shared" si="40"/>
        <v>59.736986301369868</v>
      </c>
      <c r="BG268" s="16">
        <f>'7.2'!$E$48</f>
        <v>1817</v>
      </c>
      <c r="BI268" t="s">
        <v>225</v>
      </c>
      <c r="BN268">
        <v>1</v>
      </c>
      <c r="BO268">
        <v>0</v>
      </c>
      <c r="BP268">
        <v>0</v>
      </c>
      <c r="BY268" t="s">
        <v>185</v>
      </c>
      <c r="BZ268" t="s">
        <v>186</v>
      </c>
      <c r="CA268" t="s">
        <v>187</v>
      </c>
      <c r="CB268" t="s">
        <v>188</v>
      </c>
      <c r="CC268" t="s">
        <v>189</v>
      </c>
      <c r="CD268" t="s">
        <v>190</v>
      </c>
      <c r="CE268" t="s">
        <v>181</v>
      </c>
      <c r="CF268" t="s">
        <v>192</v>
      </c>
      <c r="CG268" t="s">
        <v>193</v>
      </c>
      <c r="CH268" t="s">
        <v>194</v>
      </c>
      <c r="CI268" t="s">
        <v>195</v>
      </c>
      <c r="CJ268" t="s">
        <v>196</v>
      </c>
      <c r="CK268" t="s">
        <v>197</v>
      </c>
      <c r="CN268" t="s">
        <v>198</v>
      </c>
      <c r="CU268">
        <v>-32.208987610000001</v>
      </c>
      <c r="CV268">
        <v>27.7945338</v>
      </c>
      <c r="CW268">
        <v>1162063.57</v>
      </c>
      <c r="CX268">
        <v>0</v>
      </c>
      <c r="CZ268" s="5"/>
      <c r="DA268" s="3">
        <v>45107</v>
      </c>
      <c r="DB268" s="5">
        <v>5535753.9299999997</v>
      </c>
      <c r="DC268" s="5">
        <f>'7.2'!$C$8</f>
        <v>5660048.5999999996</v>
      </c>
      <c r="DD268" s="5">
        <f>'7.2'!$E$24</f>
        <v>3748252.0299999984</v>
      </c>
      <c r="DE268" s="5">
        <v>0</v>
      </c>
      <c r="DF268" s="5">
        <v>0</v>
      </c>
      <c r="DG268" s="5">
        <f>DD268+DE268</f>
        <v>3748252.0299999984</v>
      </c>
      <c r="DH268" s="5">
        <v>0</v>
      </c>
      <c r="DI268" s="5">
        <v>0</v>
      </c>
      <c r="DJ268" s="5">
        <v>0</v>
      </c>
      <c r="DK268" s="5">
        <f>DC268-DO268-DG268</f>
        <v>1282914.6600000011</v>
      </c>
      <c r="DL268" s="5">
        <v>0</v>
      </c>
      <c r="DM268" s="5">
        <f>'7.2'!$E$22+'7.2'!$E$27</f>
        <v>371169.27999999997</v>
      </c>
      <c r="DN268" s="5">
        <f>'7.2'!$E$39</f>
        <v>257712.63</v>
      </c>
      <c r="DO268" s="5">
        <f>DM268+DN268</f>
        <v>628881.90999999992</v>
      </c>
      <c r="DP268" s="5">
        <f>DK268</f>
        <v>1282914.6600000011</v>
      </c>
      <c r="DQ268" s="5" t="s">
        <v>187</v>
      </c>
      <c r="DR268" s="5">
        <f>'7.2'!$E$30</f>
        <v>12164247</v>
      </c>
      <c r="DS268" s="5">
        <f>'7.2'!$E$30</f>
        <v>12164247</v>
      </c>
      <c r="DT268" s="5">
        <v>0</v>
      </c>
      <c r="DU268" s="5">
        <v>1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12164247</v>
      </c>
      <c r="EE268" s="15">
        <f>'7.2'!$E$31</f>
        <v>6425119.0500000017</v>
      </c>
      <c r="EF268" s="15">
        <f>'7.2'!$E$31</f>
        <v>6425119.0500000017</v>
      </c>
      <c r="EG268" s="5">
        <f>'7.2'!$E$38</f>
        <v>333029.03000000003</v>
      </c>
      <c r="EH268" s="5">
        <v>0</v>
      </c>
      <c r="EI268" s="5">
        <v>0</v>
      </c>
      <c r="EJ268" s="5">
        <v>0</v>
      </c>
      <c r="EK268" s="5">
        <f>EF268+EG268</f>
        <v>6758148.0800000019</v>
      </c>
      <c r="EL268" s="5">
        <f>'7.2'!$E$32</f>
        <v>3748252.0299999984</v>
      </c>
      <c r="EM268" s="5">
        <f>'7.2'!$E$32</f>
        <v>3748252.0299999984</v>
      </c>
      <c r="EN268" s="5">
        <v>0</v>
      </c>
      <c r="EO268" s="5">
        <v>0</v>
      </c>
      <c r="EP268" s="5">
        <v>0</v>
      </c>
      <c r="EQ268" s="5">
        <f>EM268+EN268</f>
        <v>3748252.0299999984</v>
      </c>
      <c r="ER268" s="5">
        <f>ED268-EK268-EQ268</f>
        <v>1657846.8899999997</v>
      </c>
      <c r="ES268" s="5">
        <v>0</v>
      </c>
      <c r="ET268" s="5">
        <v>0</v>
      </c>
      <c r="EZ268" t="s">
        <v>170</v>
      </c>
      <c r="FA268" t="s">
        <v>226</v>
      </c>
    </row>
    <row r="269" spans="1:157">
      <c r="D269" s="3"/>
    </row>
    <row r="270" spans="1:157">
      <c r="A270" s="6" t="s">
        <v>273</v>
      </c>
      <c r="B270" s="3">
        <v>45107</v>
      </c>
      <c r="C270" t="s">
        <v>274</v>
      </c>
      <c r="D270" s="3">
        <v>45473</v>
      </c>
    </row>
    <row r="271" spans="1:157">
      <c r="A271" s="6" t="s">
        <v>275</v>
      </c>
      <c r="B271" s="3">
        <v>45463</v>
      </c>
      <c r="C271" t="s">
        <v>276</v>
      </c>
      <c r="D271" s="3">
        <v>45838</v>
      </c>
    </row>
    <row r="272" spans="1:157" ht="15" thickBot="1">
      <c r="A272" s="6" t="s">
        <v>227</v>
      </c>
      <c r="B272" s="15">
        <v>-5660048.5999999996</v>
      </c>
      <c r="C272" s="3"/>
      <c r="D272" s="3"/>
      <c r="DC272" s="8">
        <f>DC267-DC268</f>
        <v>0</v>
      </c>
      <c r="DD272" s="8">
        <f t="shared" ref="DD272:DP272" si="41">DD267-DD268</f>
        <v>-1000000</v>
      </c>
      <c r="DE272" s="8">
        <f t="shared" si="41"/>
        <v>0</v>
      </c>
      <c r="DF272" s="8">
        <f t="shared" si="41"/>
        <v>0</v>
      </c>
      <c r="DG272" s="8">
        <f t="shared" si="41"/>
        <v>-1000000</v>
      </c>
      <c r="DH272" s="8">
        <f t="shared" si="41"/>
        <v>0</v>
      </c>
      <c r="DI272" s="8">
        <f t="shared" si="41"/>
        <v>0</v>
      </c>
      <c r="DJ272" s="8">
        <f t="shared" si="41"/>
        <v>0</v>
      </c>
      <c r="DK272" s="8">
        <f t="shared" si="41"/>
        <v>828923.36000000034</v>
      </c>
      <c r="DL272" s="8">
        <f t="shared" si="41"/>
        <v>0</v>
      </c>
      <c r="DM272" s="8">
        <f t="shared" si="41"/>
        <v>4562.039999999979</v>
      </c>
      <c r="DN272" s="8">
        <f t="shared" si="41"/>
        <v>166514.59999999998</v>
      </c>
      <c r="DO272" s="8">
        <f t="shared" si="41"/>
        <v>171076.64</v>
      </c>
      <c r="DP272" s="8">
        <f t="shared" si="41"/>
        <v>828923.36000000034</v>
      </c>
      <c r="DR272" s="8">
        <f t="shared" ref="DR272:ED272" si="42">DR267-DR268</f>
        <v>0</v>
      </c>
      <c r="DS272" s="8">
        <f t="shared" si="42"/>
        <v>0</v>
      </c>
      <c r="DT272" s="8">
        <f t="shared" si="42"/>
        <v>0</v>
      </c>
      <c r="DU272" s="8">
        <f t="shared" si="42"/>
        <v>0</v>
      </c>
      <c r="DV272" s="8">
        <f t="shared" si="42"/>
        <v>0</v>
      </c>
      <c r="DW272" s="8">
        <f t="shared" si="42"/>
        <v>0</v>
      </c>
      <c r="DX272" s="8">
        <f t="shared" si="42"/>
        <v>0</v>
      </c>
      <c r="DY272" s="8">
        <f t="shared" si="42"/>
        <v>0</v>
      </c>
      <c r="DZ272" s="8">
        <f t="shared" si="42"/>
        <v>0</v>
      </c>
      <c r="EA272" s="8">
        <f t="shared" si="42"/>
        <v>0</v>
      </c>
      <c r="EB272" s="8">
        <f t="shared" si="42"/>
        <v>0</v>
      </c>
      <c r="EC272" s="8">
        <f t="shared" si="42"/>
        <v>0</v>
      </c>
      <c r="ED272" s="8">
        <f t="shared" si="42"/>
        <v>0</v>
      </c>
      <c r="EF272" s="8">
        <f>EF267-EF268</f>
        <v>4562.0499999998137</v>
      </c>
      <c r="EG272" s="8">
        <f>EG267-EG268</f>
        <v>166514.59999999998</v>
      </c>
      <c r="EK272" s="8">
        <f>EK267-EK268</f>
        <v>171076.64999999944</v>
      </c>
      <c r="ER272" s="8">
        <f>ER267-ER268</f>
        <v>828923.35000000056</v>
      </c>
    </row>
    <row r="273" spans="1:7" ht="15" thickTop="1">
      <c r="A273" s="6" t="s">
        <v>228</v>
      </c>
      <c r="B273" s="15">
        <v>12164247</v>
      </c>
      <c r="D273" s="3"/>
      <c r="E273" s="5"/>
      <c r="F273" s="5"/>
    </row>
    <row r="274" spans="1:7">
      <c r="A274" s="6" t="s">
        <v>229</v>
      </c>
      <c r="B274" s="15">
        <v>6020788.8300000019</v>
      </c>
      <c r="C274" s="15">
        <v>7500500</v>
      </c>
      <c r="D274" s="1">
        <f>ROUND(C274/B276*B275,2)</f>
        <v>14851233.960000001</v>
      </c>
      <c r="E274" s="5">
        <f>D274-C274</f>
        <v>7350733.9600000009</v>
      </c>
      <c r="F274" s="5">
        <f>C274-C275</f>
        <v>1357041.8300000019</v>
      </c>
    </row>
    <row r="275" spans="1:7">
      <c r="A275" s="6" t="s">
        <v>230</v>
      </c>
      <c r="B275" s="17">
        <v>10957.5</v>
      </c>
      <c r="C275" s="5">
        <f>B273-B274</f>
        <v>6143458.1699999981</v>
      </c>
      <c r="D275" s="5">
        <f>ROUND(C275/5534*10957.5,2)</f>
        <v>12164247</v>
      </c>
      <c r="E275" s="5">
        <f>D275-C275</f>
        <v>6020788.8300000019</v>
      </c>
      <c r="F275" s="5">
        <f>-B272+F274</f>
        <v>7017090.4300000016</v>
      </c>
    </row>
    <row r="276" spans="1:7">
      <c r="A276" s="6" t="s">
        <v>231</v>
      </c>
      <c r="B276" s="16">
        <v>5534</v>
      </c>
      <c r="C276" t="s">
        <v>277</v>
      </c>
      <c r="D276">
        <v>2192</v>
      </c>
      <c r="E276" s="5"/>
    </row>
    <row r="277" spans="1:7">
      <c r="A277" s="6" t="s">
        <v>232</v>
      </c>
      <c r="B277" s="5">
        <v>4318557.7399999984</v>
      </c>
      <c r="E277" s="5"/>
    </row>
    <row r="278" spans="1:7">
      <c r="A278" s="6" t="s">
        <v>233</v>
      </c>
      <c r="B278" s="5">
        <v>-3835148.1699999995</v>
      </c>
      <c r="E278" s="5"/>
    </row>
    <row r="279" spans="1:7">
      <c r="A279" s="6" t="s">
        <v>234</v>
      </c>
      <c r="B279" s="5">
        <f>C275-B277</f>
        <v>1824900.4299999997</v>
      </c>
      <c r="E279" s="5"/>
    </row>
    <row r="280" spans="1:7">
      <c r="A280" s="6" t="s">
        <v>235</v>
      </c>
      <c r="B280" s="5">
        <f>B272-B278</f>
        <v>-1824900.4300000002</v>
      </c>
      <c r="E280" s="5"/>
    </row>
    <row r="281" spans="1:7">
      <c r="B281" s="5"/>
      <c r="E281" s="5"/>
    </row>
    <row r="282" spans="1:7">
      <c r="A282" s="9" t="s">
        <v>202</v>
      </c>
      <c r="C282" s="9" t="s">
        <v>203</v>
      </c>
      <c r="D282" s="10" t="s">
        <v>204</v>
      </c>
      <c r="E282" s="10" t="s">
        <v>205</v>
      </c>
    </row>
    <row r="283" spans="1:7">
      <c r="A283" s="18" t="s">
        <v>278</v>
      </c>
      <c r="E283" s="5"/>
    </row>
    <row r="284" spans="1:7">
      <c r="A284" t="s">
        <v>237</v>
      </c>
      <c r="C284" s="11">
        <f>'7.2'!$C$8</f>
        <v>5660048.5999999996</v>
      </c>
      <c r="D284" s="11">
        <f>'7.2'!$C$8</f>
        <v>5660048.5999999996</v>
      </c>
      <c r="E284" s="11">
        <f>D284-C284</f>
        <v>0</v>
      </c>
      <c r="G284" s="5"/>
    </row>
    <row r="285" spans="1:7">
      <c r="A285" t="s">
        <v>238</v>
      </c>
      <c r="C285" s="11">
        <f>'7.2'!$C$5</f>
        <v>12164247</v>
      </c>
      <c r="D285" s="11">
        <f>'7.2'!$C$5</f>
        <v>12164247</v>
      </c>
      <c r="E285" s="11">
        <f>C285-D285</f>
        <v>0</v>
      </c>
      <c r="G285" s="5"/>
    </row>
    <row r="286" spans="1:7">
      <c r="A286" t="s">
        <v>229</v>
      </c>
      <c r="C286" s="11">
        <f>'7.2'!$C$6</f>
        <v>6020788.8300000019</v>
      </c>
      <c r="D286" s="11">
        <f>'7.2'!$C$6</f>
        <v>6020788.8300000019</v>
      </c>
      <c r="E286" s="11">
        <f>D286-C286</f>
        <v>0</v>
      </c>
      <c r="G286" s="5"/>
    </row>
    <row r="287" spans="1:7" ht="15" thickBot="1">
      <c r="C287" s="11"/>
      <c r="D287" s="11"/>
      <c r="E287" s="32">
        <f>SUM(E284:E286)</f>
        <v>0</v>
      </c>
    </row>
    <row r="288" spans="1:7" ht="15" thickTop="1">
      <c r="A288" t="s">
        <v>279</v>
      </c>
      <c r="C288" s="11"/>
      <c r="D288" s="11"/>
      <c r="E288" s="11"/>
    </row>
    <row r="289" spans="1:6">
      <c r="A289" t="s">
        <v>280</v>
      </c>
      <c r="C289" s="11">
        <f>'7.2'!$D$22+'7.2'!$D$27</f>
        <v>375731.31999999995</v>
      </c>
      <c r="D289" s="11">
        <f>'7.2'!$E$22+'7.2'!$E$27</f>
        <v>371169.27999999997</v>
      </c>
      <c r="E289" s="11">
        <f>D289-C289</f>
        <v>-4562.039999999979</v>
      </c>
    </row>
    <row r="290" spans="1:6">
      <c r="A290" t="s">
        <v>281</v>
      </c>
      <c r="C290" s="11">
        <f>'7.2'!$D$39</f>
        <v>424227.23</v>
      </c>
      <c r="D290" s="11">
        <f>'7.2'!$E$39</f>
        <v>257712.63</v>
      </c>
      <c r="E290" s="11">
        <f t="shared" ref="E290:E292" si="43">D290-C290</f>
        <v>-166514.59999999998</v>
      </c>
    </row>
    <row r="291" spans="1:6">
      <c r="A291" t="s">
        <v>286</v>
      </c>
      <c r="C291" s="11"/>
      <c r="D291" s="11"/>
      <c r="E291" s="33"/>
      <c r="F291" s="31"/>
    </row>
    <row r="292" spans="1:6" ht="129.6">
      <c r="A292" t="s">
        <v>287</v>
      </c>
      <c r="C292" s="11">
        <f>'7.2'!$D$24</f>
        <v>2748252.0299999984</v>
      </c>
      <c r="D292" s="11">
        <f>'7.2'!$E$24</f>
        <v>3748252.0299999984</v>
      </c>
      <c r="E292" s="33">
        <f t="shared" si="43"/>
        <v>1000000</v>
      </c>
      <c r="F292" s="23" t="s">
        <v>284</v>
      </c>
    </row>
    <row r="293" spans="1:6">
      <c r="A293" t="s">
        <v>288</v>
      </c>
      <c r="C293" s="11"/>
      <c r="D293" s="11"/>
      <c r="E293" s="33"/>
      <c r="F293" s="23"/>
    </row>
    <row r="294" spans="1:6">
      <c r="A294" t="s">
        <v>242</v>
      </c>
      <c r="C294" s="11"/>
      <c r="D294" s="11"/>
      <c r="E294" s="11"/>
      <c r="F294" s="6"/>
    </row>
    <row r="295" spans="1:6">
      <c r="A295" t="s">
        <v>243</v>
      </c>
      <c r="C295" s="11">
        <f>'7.2'!$D$21+'7.2'!$D$26</f>
        <v>408892.27</v>
      </c>
      <c r="D295" s="11">
        <f>'7.2'!$E$21+'7.2'!$E$26</f>
        <v>404330.22000000003</v>
      </c>
      <c r="E295" s="11">
        <f>C295-D295</f>
        <v>4562.0499999999884</v>
      </c>
    </row>
    <row r="296" spans="1:6">
      <c r="A296" t="s">
        <v>244</v>
      </c>
      <c r="C296" s="11">
        <f>'7.2'!$D$38</f>
        <v>499543.63</v>
      </c>
      <c r="D296" s="11">
        <f>'7.2'!$E$38</f>
        <v>333029.03000000003</v>
      </c>
      <c r="E296" s="11">
        <f>C296-D296</f>
        <v>166514.59999999998</v>
      </c>
    </row>
    <row r="297" spans="1:6">
      <c r="A297" t="s">
        <v>286</v>
      </c>
      <c r="C297" s="11"/>
      <c r="D297" s="11"/>
      <c r="E297" s="11"/>
    </row>
    <row r="298" spans="1:6">
      <c r="A298" t="s">
        <v>287</v>
      </c>
      <c r="C298" s="11">
        <f>'7.2'!$D$24</f>
        <v>2748252.0299999984</v>
      </c>
      <c r="D298" s="11">
        <f>'7.2'!$E$24</f>
        <v>3748252.0299999984</v>
      </c>
      <c r="E298" s="11">
        <f>C298-D298</f>
        <v>-1000000</v>
      </c>
    </row>
    <row r="299" spans="1:6">
      <c r="A299" t="s">
        <v>288</v>
      </c>
      <c r="C299" s="11"/>
      <c r="D299" s="11"/>
      <c r="E299" s="11"/>
    </row>
    <row r="300" spans="1:6">
      <c r="A300" t="s">
        <v>289</v>
      </c>
      <c r="C300" s="11"/>
      <c r="D300" s="11"/>
      <c r="E300" s="11">
        <f>-E289</f>
        <v>4562.039999999979</v>
      </c>
    </row>
    <row r="301" spans="1:6">
      <c r="A301" t="s">
        <v>290</v>
      </c>
      <c r="C301" s="11"/>
      <c r="D301" s="11"/>
      <c r="E301" s="11">
        <f>-E290</f>
        <v>166514.59999999998</v>
      </c>
    </row>
    <row r="302" spans="1:6">
      <c r="A302" t="s">
        <v>291</v>
      </c>
      <c r="C302" s="11"/>
      <c r="D302" s="11"/>
      <c r="E302" s="11">
        <f>-E295</f>
        <v>-4562.0499999999884</v>
      </c>
    </row>
    <row r="303" spans="1:6">
      <c r="A303" t="s">
        <v>292</v>
      </c>
      <c r="C303" s="11"/>
      <c r="D303" s="11"/>
      <c r="E303" s="11">
        <f>-E296</f>
        <v>-166514.59999999998</v>
      </c>
    </row>
    <row r="304" spans="1:6">
      <c r="E304" s="5"/>
    </row>
    <row r="305" spans="1:157" ht="72">
      <c r="A305" s="6" t="s">
        <v>294</v>
      </c>
      <c r="C305" s="6" t="s">
        <v>163</v>
      </c>
      <c r="D305" t="s">
        <v>219</v>
      </c>
      <c r="E305">
        <v>0</v>
      </c>
      <c r="F305">
        <v>7424</v>
      </c>
      <c r="G305" t="s">
        <v>220</v>
      </c>
      <c r="H305" t="s">
        <v>221</v>
      </c>
      <c r="I305" t="s">
        <v>222</v>
      </c>
      <c r="K305" t="s">
        <v>222</v>
      </c>
      <c r="O305" t="s">
        <v>168</v>
      </c>
      <c r="P305" t="s">
        <v>169</v>
      </c>
      <c r="Q305" t="s">
        <v>170</v>
      </c>
      <c r="R305" t="s">
        <v>222</v>
      </c>
      <c r="S305" t="s">
        <v>171</v>
      </c>
      <c r="U305" t="s">
        <v>222</v>
      </c>
      <c r="V305" t="s">
        <v>222</v>
      </c>
      <c r="W305" t="s">
        <v>172</v>
      </c>
      <c r="X305" t="s">
        <v>173</v>
      </c>
      <c r="Y305" t="s">
        <v>174</v>
      </c>
      <c r="Z305" t="s">
        <v>223</v>
      </c>
      <c r="AA305" t="s">
        <v>224</v>
      </c>
      <c r="AB305" t="s">
        <v>176</v>
      </c>
      <c r="AC305" t="s">
        <v>177</v>
      </c>
      <c r="AD305" t="s">
        <v>178</v>
      </c>
      <c r="AE305" t="s">
        <v>179</v>
      </c>
      <c r="AF305" s="3">
        <v>45580</v>
      </c>
      <c r="AG305" s="3">
        <v>41456</v>
      </c>
      <c r="AH305" s="3">
        <v>45473</v>
      </c>
      <c r="AL305" s="14">
        <v>45838.958333333336</v>
      </c>
      <c r="AM305" s="3">
        <v>45473</v>
      </c>
      <c r="AN305" t="s">
        <v>180</v>
      </c>
      <c r="AP305" s="3">
        <v>45473</v>
      </c>
      <c r="AS305" t="s">
        <v>181</v>
      </c>
      <c r="AT305" t="s">
        <v>182</v>
      </c>
      <c r="AV305" t="s">
        <v>182</v>
      </c>
      <c r="AW305">
        <v>12164247</v>
      </c>
      <c r="AX305">
        <v>5378818.7800000003</v>
      </c>
      <c r="AY305">
        <v>0</v>
      </c>
      <c r="AZ305">
        <v>0</v>
      </c>
      <c r="BA305" t="s">
        <v>183</v>
      </c>
      <c r="BB305">
        <v>30</v>
      </c>
      <c r="BC305">
        <f>BB305*12</f>
        <v>360</v>
      </c>
      <c r="BD305">
        <v>10957.5</v>
      </c>
      <c r="BE305">
        <f t="shared" ref="BE305:BE306" si="44">BG305/365</f>
        <v>4.978082191780822</v>
      </c>
      <c r="BF305">
        <f t="shared" ref="BF305:BF306" si="45">BE305*12</f>
        <v>59.736986301369868</v>
      </c>
      <c r="BG305" s="16">
        <f>'7.3'!$D$48</f>
        <v>1817</v>
      </c>
      <c r="BI305" t="s">
        <v>225</v>
      </c>
      <c r="BN305">
        <v>1</v>
      </c>
      <c r="BO305">
        <v>0</v>
      </c>
      <c r="BP305">
        <v>0</v>
      </c>
      <c r="BY305" t="s">
        <v>185</v>
      </c>
      <c r="BZ305" t="s">
        <v>186</v>
      </c>
      <c r="CA305" t="s">
        <v>187</v>
      </c>
      <c r="CB305" t="s">
        <v>188</v>
      </c>
      <c r="CC305" t="s">
        <v>189</v>
      </c>
      <c r="CD305" t="s">
        <v>190</v>
      </c>
      <c r="CE305" t="s">
        <v>181</v>
      </c>
      <c r="CF305" t="s">
        <v>192</v>
      </c>
      <c r="CG305" t="s">
        <v>193</v>
      </c>
      <c r="CH305" t="s">
        <v>194</v>
      </c>
      <c r="CI305" t="s">
        <v>195</v>
      </c>
      <c r="CJ305" t="s">
        <v>196</v>
      </c>
      <c r="CK305" t="s">
        <v>197</v>
      </c>
      <c r="CN305" t="s">
        <v>198</v>
      </c>
      <c r="CU305">
        <v>-32.208987610000001</v>
      </c>
      <c r="CV305">
        <v>27.7945338</v>
      </c>
      <c r="CW305">
        <v>1162063.57</v>
      </c>
      <c r="CX305">
        <v>0</v>
      </c>
      <c r="CZ305" s="5"/>
      <c r="DA305" s="3">
        <v>45107</v>
      </c>
      <c r="DB305" s="5">
        <v>5535753.9299999997</v>
      </c>
      <c r="DC305" s="5">
        <f>'7.3'!$C$8</f>
        <v>5660048.5999999996</v>
      </c>
      <c r="DD305" s="5">
        <f>'7.3'!$D$24</f>
        <v>2748252.0299999984</v>
      </c>
      <c r="DE305" s="5">
        <v>0</v>
      </c>
      <c r="DF305" s="5">
        <v>0</v>
      </c>
      <c r="DG305" s="5">
        <f>DD305+DE305</f>
        <v>2748252.0299999984</v>
      </c>
      <c r="DH305" s="5">
        <v>0</v>
      </c>
      <c r="DI305" s="5">
        <v>0</v>
      </c>
      <c r="DJ305" s="5">
        <v>0</v>
      </c>
      <c r="DK305" s="5">
        <f>DC305-DO305-DG305</f>
        <v>2111838.0200000014</v>
      </c>
      <c r="DL305" s="5">
        <v>0</v>
      </c>
      <c r="DM305" s="5">
        <f>'7.3'!$D$22+'7.3'!$D$27</f>
        <v>375731.31999999995</v>
      </c>
      <c r="DN305" s="5">
        <f>'7.3'!$D$39</f>
        <v>424227.23</v>
      </c>
      <c r="DO305" s="5">
        <f>DM305+DN305</f>
        <v>799958.54999999993</v>
      </c>
      <c r="DP305" s="5">
        <f>DK305</f>
        <v>2111838.0200000014</v>
      </c>
      <c r="DQ305" s="5" t="s">
        <v>187</v>
      </c>
      <c r="DR305" s="5">
        <f>'7.3'!$D$30</f>
        <v>12164247</v>
      </c>
      <c r="DS305" s="5">
        <f>'7.3'!$D$30</f>
        <v>12164247</v>
      </c>
      <c r="DT305" s="5">
        <v>0</v>
      </c>
      <c r="DU305" s="5">
        <v>1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12164247</v>
      </c>
      <c r="EE305" s="15">
        <f>'7.3'!$D$31</f>
        <v>6429681.1000000015</v>
      </c>
      <c r="EF305" s="15">
        <f>'7.3'!$D$31</f>
        <v>6429681.1000000015</v>
      </c>
      <c r="EG305" s="5">
        <f>'7.3'!$D$38</f>
        <v>499543.63</v>
      </c>
      <c r="EH305" s="5">
        <v>0</v>
      </c>
      <c r="EI305" s="5">
        <v>0</v>
      </c>
      <c r="EJ305" s="5">
        <v>0</v>
      </c>
      <c r="EK305" s="5">
        <f>EF305+EG305</f>
        <v>6929224.7300000014</v>
      </c>
      <c r="EL305" s="5">
        <f>'7.3'!$D$32</f>
        <v>2748252.0299999984</v>
      </c>
      <c r="EM305" s="5">
        <f>'7.3'!$D$32</f>
        <v>2748252.0299999984</v>
      </c>
      <c r="EN305" s="5">
        <v>0</v>
      </c>
      <c r="EO305" s="5">
        <v>0</v>
      </c>
      <c r="EP305" s="5">
        <v>0</v>
      </c>
      <c r="EQ305" s="5">
        <f>EM305+EN305</f>
        <v>2748252.0299999984</v>
      </c>
      <c r="ER305" s="5">
        <f>ED305-EK305-EQ305</f>
        <v>2486770.2400000002</v>
      </c>
      <c r="ES305" s="5">
        <v>0</v>
      </c>
      <c r="ET305" s="5">
        <v>0</v>
      </c>
      <c r="EZ305" t="s">
        <v>170</v>
      </c>
      <c r="FA305" t="s">
        <v>226</v>
      </c>
    </row>
    <row r="306" spans="1:157" ht="72">
      <c r="A306" s="6" t="s">
        <v>294</v>
      </c>
      <c r="C306" s="6" t="s">
        <v>200</v>
      </c>
      <c r="D306" t="s">
        <v>219</v>
      </c>
      <c r="E306">
        <v>0</v>
      </c>
      <c r="F306">
        <v>7424</v>
      </c>
      <c r="G306" t="s">
        <v>220</v>
      </c>
      <c r="H306" t="s">
        <v>221</v>
      </c>
      <c r="I306" t="s">
        <v>222</v>
      </c>
      <c r="K306" t="s">
        <v>222</v>
      </c>
      <c r="O306" t="s">
        <v>168</v>
      </c>
      <c r="P306" t="s">
        <v>169</v>
      </c>
      <c r="Q306" t="s">
        <v>170</v>
      </c>
      <c r="R306" t="s">
        <v>222</v>
      </c>
      <c r="S306" t="s">
        <v>171</v>
      </c>
      <c r="U306" t="s">
        <v>222</v>
      </c>
      <c r="V306" t="s">
        <v>222</v>
      </c>
      <c r="W306" t="s">
        <v>172</v>
      </c>
      <c r="X306" t="s">
        <v>173</v>
      </c>
      <c r="Y306" t="s">
        <v>174</v>
      </c>
      <c r="Z306" t="s">
        <v>223</v>
      </c>
      <c r="AA306" t="s">
        <v>224</v>
      </c>
      <c r="AB306" t="s">
        <v>176</v>
      </c>
      <c r="AC306" t="s">
        <v>177</v>
      </c>
      <c r="AD306" t="s">
        <v>178</v>
      </c>
      <c r="AE306" t="s">
        <v>179</v>
      </c>
      <c r="AF306" s="3">
        <v>45580</v>
      </c>
      <c r="AG306" s="3">
        <v>41456</v>
      </c>
      <c r="AH306" s="3">
        <v>45473</v>
      </c>
      <c r="AL306" s="14">
        <v>45838.958333333336</v>
      </c>
      <c r="AM306" s="3">
        <v>45473</v>
      </c>
      <c r="AN306" t="s">
        <v>180</v>
      </c>
      <c r="AP306" s="3">
        <v>45473</v>
      </c>
      <c r="AS306" t="s">
        <v>181</v>
      </c>
      <c r="AT306" t="s">
        <v>182</v>
      </c>
      <c r="AV306" t="s">
        <v>182</v>
      </c>
      <c r="AW306">
        <v>12164247</v>
      </c>
      <c r="AX306">
        <v>5378818.7800000003</v>
      </c>
      <c r="AY306">
        <v>0</v>
      </c>
      <c r="AZ306">
        <v>0</v>
      </c>
      <c r="BA306" t="s">
        <v>183</v>
      </c>
      <c r="BB306">
        <v>30</v>
      </c>
      <c r="BC306">
        <f>BB306*12</f>
        <v>360</v>
      </c>
      <c r="BD306">
        <v>10957.5</v>
      </c>
      <c r="BE306">
        <f t="shared" si="44"/>
        <v>4.978082191780822</v>
      </c>
      <c r="BF306">
        <f t="shared" si="45"/>
        <v>59.736986301369868</v>
      </c>
      <c r="BG306" s="16">
        <f>'7.3'!$E$48</f>
        <v>1817</v>
      </c>
      <c r="BI306" t="s">
        <v>225</v>
      </c>
      <c r="BN306">
        <v>1</v>
      </c>
      <c r="BO306">
        <v>0</v>
      </c>
      <c r="BP306">
        <v>0</v>
      </c>
      <c r="BY306" t="s">
        <v>185</v>
      </c>
      <c r="BZ306" t="s">
        <v>186</v>
      </c>
      <c r="CA306" t="s">
        <v>187</v>
      </c>
      <c r="CB306" t="s">
        <v>188</v>
      </c>
      <c r="CC306" t="s">
        <v>189</v>
      </c>
      <c r="CD306" t="s">
        <v>190</v>
      </c>
      <c r="CE306" t="s">
        <v>181</v>
      </c>
      <c r="CF306" t="s">
        <v>192</v>
      </c>
      <c r="CG306" t="s">
        <v>193</v>
      </c>
      <c r="CH306" t="s">
        <v>194</v>
      </c>
      <c r="CI306" t="s">
        <v>195</v>
      </c>
      <c r="CJ306" t="s">
        <v>196</v>
      </c>
      <c r="CK306" t="s">
        <v>197</v>
      </c>
      <c r="CN306" t="s">
        <v>198</v>
      </c>
      <c r="CU306">
        <v>-32.208987610000001</v>
      </c>
      <c r="CV306">
        <v>27.7945338</v>
      </c>
      <c r="CW306">
        <v>1162063.57</v>
      </c>
      <c r="CX306">
        <v>0</v>
      </c>
      <c r="CZ306" s="5"/>
      <c r="DA306" s="3">
        <v>45107</v>
      </c>
      <c r="DB306" s="5">
        <v>5535753.9299999997</v>
      </c>
      <c r="DC306" s="5">
        <f>'7.3'!$C$8</f>
        <v>5660048.5999999996</v>
      </c>
      <c r="DD306" s="5">
        <f>'7.3'!$E$24</f>
        <v>1748252.0299999984</v>
      </c>
      <c r="DE306" s="5">
        <v>0</v>
      </c>
      <c r="DF306" s="5">
        <v>0</v>
      </c>
      <c r="DG306" s="5">
        <f>DD306+DE306</f>
        <v>1748252.0299999984</v>
      </c>
      <c r="DH306" s="5">
        <v>0</v>
      </c>
      <c r="DI306" s="5">
        <v>0</v>
      </c>
      <c r="DJ306" s="5">
        <v>0</v>
      </c>
      <c r="DK306" s="5">
        <f>DC306-DO306-DG306</f>
        <v>2940761.370000001</v>
      </c>
      <c r="DL306" s="5">
        <v>0</v>
      </c>
      <c r="DM306" s="5">
        <f>'7.3'!$E$22+'7.3'!$E$27</f>
        <v>380293.37</v>
      </c>
      <c r="DN306" s="5">
        <f>'7.3'!$E$39</f>
        <v>590741.82999999996</v>
      </c>
      <c r="DO306" s="5">
        <f>DM306+DN306</f>
        <v>971035.2</v>
      </c>
      <c r="DP306" s="5">
        <f>DK306</f>
        <v>2940761.370000001</v>
      </c>
      <c r="DQ306" s="5" t="s">
        <v>187</v>
      </c>
      <c r="DR306" s="5">
        <f>'7.3'!$E$30</f>
        <v>12164247</v>
      </c>
      <c r="DS306" s="5">
        <f>'7.3'!$E$30</f>
        <v>12164247</v>
      </c>
      <c r="DT306" s="5">
        <v>0</v>
      </c>
      <c r="DU306" s="5">
        <v>1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12164247</v>
      </c>
      <c r="EE306" s="15">
        <f>'7.3'!$E$31</f>
        <v>6434243.1400000015</v>
      </c>
      <c r="EF306" s="15">
        <f>'7.3'!$E$31</f>
        <v>6434243.1400000015</v>
      </c>
      <c r="EG306" s="5">
        <f>'7.3'!$E$38</f>
        <v>666058.23</v>
      </c>
      <c r="EH306" s="5">
        <v>0</v>
      </c>
      <c r="EI306" s="5">
        <v>0</v>
      </c>
      <c r="EJ306" s="5">
        <v>0</v>
      </c>
      <c r="EK306" s="5">
        <f>EF306+EG306</f>
        <v>7100301.370000001</v>
      </c>
      <c r="EL306" s="5">
        <f>'7.3'!$E$32</f>
        <v>1748252.0299999984</v>
      </c>
      <c r="EM306" s="5">
        <f>'7.3'!$E$32</f>
        <v>1748252.0299999984</v>
      </c>
      <c r="EN306" s="5">
        <v>0</v>
      </c>
      <c r="EO306" s="5">
        <v>0</v>
      </c>
      <c r="EP306" s="5">
        <v>0</v>
      </c>
      <c r="EQ306" s="5">
        <f>EM306+EN306</f>
        <v>1748252.0299999984</v>
      </c>
      <c r="ER306" s="5">
        <f>ED306-EK306-EQ306</f>
        <v>3315693.6000000006</v>
      </c>
      <c r="ES306" s="5">
        <v>0</v>
      </c>
      <c r="ET306" s="5">
        <v>0</v>
      </c>
      <c r="EZ306" t="s">
        <v>170</v>
      </c>
      <c r="FA306" t="s">
        <v>226</v>
      </c>
    </row>
    <row r="307" spans="1:157">
      <c r="D307" s="3"/>
    </row>
    <row r="308" spans="1:157">
      <c r="A308" s="6" t="s">
        <v>273</v>
      </c>
      <c r="B308" s="3">
        <v>45107</v>
      </c>
      <c r="C308" t="s">
        <v>274</v>
      </c>
      <c r="D308" s="3">
        <v>45473</v>
      </c>
    </row>
    <row r="309" spans="1:157">
      <c r="A309" s="6" t="s">
        <v>275</v>
      </c>
      <c r="B309" s="3">
        <v>45463</v>
      </c>
      <c r="C309" t="s">
        <v>276</v>
      </c>
      <c r="D309" s="3">
        <v>45838</v>
      </c>
    </row>
    <row r="310" spans="1:157" ht="15" thickBot="1">
      <c r="A310" s="6" t="s">
        <v>227</v>
      </c>
      <c r="B310" s="15">
        <v>-5660048.5999999996</v>
      </c>
      <c r="C310" s="3"/>
      <c r="D310" s="3"/>
      <c r="DC310" s="8">
        <f>DC305-DC306</f>
        <v>0</v>
      </c>
      <c r="DD310" s="8">
        <f t="shared" ref="DD310:DP310" si="46">DD305-DD306</f>
        <v>1000000</v>
      </c>
      <c r="DE310" s="8">
        <f t="shared" si="46"/>
        <v>0</v>
      </c>
      <c r="DF310" s="8">
        <f t="shared" si="46"/>
        <v>0</v>
      </c>
      <c r="DG310" s="8">
        <f t="shared" si="46"/>
        <v>1000000</v>
      </c>
      <c r="DH310" s="8">
        <f t="shared" si="46"/>
        <v>0</v>
      </c>
      <c r="DI310" s="8">
        <f t="shared" si="46"/>
        <v>0</v>
      </c>
      <c r="DJ310" s="8">
        <f t="shared" si="46"/>
        <v>0</v>
      </c>
      <c r="DK310" s="8">
        <f t="shared" si="46"/>
        <v>-828923.34999999963</v>
      </c>
      <c r="DL310" s="8">
        <f t="shared" si="46"/>
        <v>0</v>
      </c>
      <c r="DM310" s="8">
        <f t="shared" si="46"/>
        <v>-4562.0500000000466</v>
      </c>
      <c r="DN310" s="8">
        <f t="shared" si="46"/>
        <v>-166514.59999999998</v>
      </c>
      <c r="DO310" s="8">
        <f t="shared" si="46"/>
        <v>-171076.65000000002</v>
      </c>
      <c r="DP310" s="8">
        <f t="shared" si="46"/>
        <v>-828923.34999999963</v>
      </c>
      <c r="DR310" s="8">
        <f t="shared" ref="DR310:ED310" si="47">DR305-DR306</f>
        <v>0</v>
      </c>
      <c r="DS310" s="8">
        <f t="shared" si="47"/>
        <v>0</v>
      </c>
      <c r="DT310" s="8">
        <f t="shared" si="47"/>
        <v>0</v>
      </c>
      <c r="DU310" s="8">
        <f t="shared" si="47"/>
        <v>0</v>
      </c>
      <c r="DV310" s="8">
        <f t="shared" si="47"/>
        <v>0</v>
      </c>
      <c r="DW310" s="8">
        <f t="shared" si="47"/>
        <v>0</v>
      </c>
      <c r="DX310" s="8">
        <f t="shared" si="47"/>
        <v>0</v>
      </c>
      <c r="DY310" s="8">
        <f t="shared" si="47"/>
        <v>0</v>
      </c>
      <c r="DZ310" s="8">
        <f t="shared" si="47"/>
        <v>0</v>
      </c>
      <c r="EA310" s="8">
        <f t="shared" si="47"/>
        <v>0</v>
      </c>
      <c r="EB310" s="8">
        <f t="shared" si="47"/>
        <v>0</v>
      </c>
      <c r="EC310" s="8">
        <f t="shared" si="47"/>
        <v>0</v>
      </c>
      <c r="ED310" s="8">
        <f t="shared" si="47"/>
        <v>0</v>
      </c>
      <c r="EF310" s="8">
        <f>EF305-EF306</f>
        <v>-4562.0400000000373</v>
      </c>
      <c r="EG310" s="8">
        <f>EG305-EG306</f>
        <v>-166514.59999999998</v>
      </c>
      <c r="EK310" s="8">
        <f>EK305-EK306</f>
        <v>-171076.63999999966</v>
      </c>
      <c r="ER310" s="8">
        <f>ER305-ER306</f>
        <v>-828923.36000000034</v>
      </c>
    </row>
    <row r="311" spans="1:157" ht="15" thickTop="1">
      <c r="A311" s="6" t="s">
        <v>228</v>
      </c>
      <c r="B311" s="15">
        <v>12164247</v>
      </c>
      <c r="D311" s="3"/>
      <c r="E311" s="5"/>
      <c r="F311" s="5"/>
    </row>
    <row r="312" spans="1:157">
      <c r="A312" s="6" t="s">
        <v>229</v>
      </c>
      <c r="B312" s="15">
        <v>6020788.8300000019</v>
      </c>
      <c r="C312" s="15">
        <v>7500500</v>
      </c>
      <c r="D312" s="1">
        <f>ROUND(C312/B314*B313,2)</f>
        <v>14851233.960000001</v>
      </c>
      <c r="E312" s="5">
        <f>D312-C312</f>
        <v>7350733.9600000009</v>
      </c>
      <c r="F312" s="5">
        <f>C312-C313</f>
        <v>1357041.8300000019</v>
      </c>
    </row>
    <row r="313" spans="1:157">
      <c r="A313" s="6" t="s">
        <v>230</v>
      </c>
      <c r="B313" s="17">
        <v>10957.5</v>
      </c>
      <c r="C313" s="5">
        <f>B311-B312</f>
        <v>6143458.1699999981</v>
      </c>
      <c r="D313" s="5">
        <f>ROUND(C313/5534*10957.5,2)</f>
        <v>12164247</v>
      </c>
      <c r="E313" s="5">
        <f>D313-C313</f>
        <v>6020788.8300000019</v>
      </c>
      <c r="F313" s="5">
        <f>-B310+F312</f>
        <v>7017090.4300000016</v>
      </c>
    </row>
    <row r="314" spans="1:157">
      <c r="A314" s="6" t="s">
        <v>231</v>
      </c>
      <c r="B314" s="16">
        <v>5534</v>
      </c>
      <c r="C314" t="s">
        <v>277</v>
      </c>
      <c r="D314">
        <v>2192</v>
      </c>
      <c r="E314" s="5"/>
    </row>
    <row r="315" spans="1:157">
      <c r="A315" s="6" t="s">
        <v>232</v>
      </c>
      <c r="B315" s="5">
        <v>4318557.7399999984</v>
      </c>
      <c r="E315" s="5"/>
    </row>
    <row r="316" spans="1:157">
      <c r="A316" s="6" t="s">
        <v>233</v>
      </c>
      <c r="B316" s="5">
        <v>-3835148.1699999995</v>
      </c>
      <c r="E316" s="5"/>
    </row>
    <row r="317" spans="1:157">
      <c r="A317" s="6" t="s">
        <v>234</v>
      </c>
      <c r="B317" s="5">
        <f>C313-B315</f>
        <v>1824900.4299999997</v>
      </c>
      <c r="E317" s="5"/>
    </row>
    <row r="318" spans="1:157">
      <c r="A318" s="6" t="s">
        <v>235</v>
      </c>
      <c r="B318" s="5">
        <f>B310-B316</f>
        <v>-1824900.4300000002</v>
      </c>
      <c r="E318" s="5"/>
    </row>
    <row r="319" spans="1:157">
      <c r="B319" s="5"/>
      <c r="E319" s="5"/>
    </row>
    <row r="320" spans="1:157">
      <c r="A320" s="9" t="s">
        <v>202</v>
      </c>
      <c r="C320" s="9" t="s">
        <v>203</v>
      </c>
      <c r="D320" s="10" t="s">
        <v>204</v>
      </c>
      <c r="E320" s="10" t="s">
        <v>205</v>
      </c>
    </row>
    <row r="321" spans="1:7">
      <c r="A321" s="18" t="s">
        <v>278</v>
      </c>
      <c r="C321" s="11"/>
      <c r="D321" s="11"/>
      <c r="E321" s="11"/>
    </row>
    <row r="322" spans="1:7">
      <c r="A322" t="s">
        <v>237</v>
      </c>
      <c r="C322" s="11">
        <f>'7.3'!$C$8</f>
        <v>5660048.5999999996</v>
      </c>
      <c r="D322" s="11">
        <f>'7.3'!$C$8</f>
        <v>5660048.5999999996</v>
      </c>
      <c r="E322" s="11">
        <f>D322-C322</f>
        <v>0</v>
      </c>
      <c r="G322" s="5"/>
    </row>
    <row r="323" spans="1:7">
      <c r="A323" t="s">
        <v>238</v>
      </c>
      <c r="C323" s="11">
        <f>'7.3'!$C$5</f>
        <v>12164247</v>
      </c>
      <c r="D323" s="11">
        <f>'7.3'!$C$5</f>
        <v>12164247</v>
      </c>
      <c r="E323" s="11">
        <f>C323-D323</f>
        <v>0</v>
      </c>
      <c r="G323" s="5"/>
    </row>
    <row r="324" spans="1:7">
      <c r="A324" t="s">
        <v>229</v>
      </c>
      <c r="C324" s="11">
        <f>'7.3'!$C$6</f>
        <v>6020788.8300000019</v>
      </c>
      <c r="D324" s="11">
        <f>'7.3'!$C$6</f>
        <v>6020788.8300000019</v>
      </c>
      <c r="E324" s="11">
        <f>D324-C324</f>
        <v>0</v>
      </c>
      <c r="G324" s="5"/>
    </row>
    <row r="325" spans="1:7" ht="15" thickBot="1">
      <c r="C325" s="11"/>
      <c r="D325" s="11"/>
      <c r="E325" s="32">
        <f>SUM(E322:E324)</f>
        <v>0</v>
      </c>
    </row>
    <row r="326" spans="1:7" ht="15" thickTop="1">
      <c r="A326" t="s">
        <v>279</v>
      </c>
      <c r="C326" s="11"/>
      <c r="D326" s="11"/>
      <c r="E326" s="11"/>
    </row>
    <row r="327" spans="1:7">
      <c r="A327" t="s">
        <v>280</v>
      </c>
      <c r="C327" s="11">
        <f>'7.3'!$D$22+'7.3'!$D$27</f>
        <v>375731.31999999995</v>
      </c>
      <c r="D327" s="11">
        <f>'7.3'!$E$22+'7.3'!$E$27</f>
        <v>380293.37</v>
      </c>
      <c r="E327" s="11">
        <f>D327-C327</f>
        <v>4562.0500000000466</v>
      </c>
    </row>
    <row r="328" spans="1:7">
      <c r="A328" t="s">
        <v>281</v>
      </c>
      <c r="C328" s="11">
        <f>'7.3'!$D$39</f>
        <v>424227.23</v>
      </c>
      <c r="D328" s="11">
        <f>'7.3'!$E$39</f>
        <v>590741.82999999996</v>
      </c>
      <c r="E328" s="11">
        <f t="shared" ref="E328:E330" si="48">D328-C328</f>
        <v>166514.59999999998</v>
      </c>
    </row>
    <row r="329" spans="1:7">
      <c r="A329" t="s">
        <v>286</v>
      </c>
      <c r="C329" s="11"/>
      <c r="D329" s="11"/>
      <c r="E329" s="33"/>
      <c r="F329" s="31"/>
    </row>
    <row r="330" spans="1:7" ht="129.6">
      <c r="A330" t="s">
        <v>287</v>
      </c>
      <c r="C330" s="11">
        <f>'7.3'!$D$24</f>
        <v>2748252.0299999984</v>
      </c>
      <c r="D330" s="11">
        <f>'7.3'!$E$24</f>
        <v>1748252.0299999984</v>
      </c>
      <c r="E330" s="33">
        <f t="shared" si="48"/>
        <v>-1000000</v>
      </c>
      <c r="F330" s="23" t="s">
        <v>284</v>
      </c>
    </row>
    <row r="331" spans="1:7">
      <c r="A331" t="s">
        <v>288</v>
      </c>
      <c r="C331" s="11"/>
      <c r="D331" s="11"/>
      <c r="E331" s="33"/>
      <c r="F331" s="23"/>
    </row>
    <row r="332" spans="1:7">
      <c r="A332" t="s">
        <v>242</v>
      </c>
      <c r="C332" s="11"/>
      <c r="D332" s="11"/>
      <c r="E332" s="11"/>
      <c r="F332" s="6"/>
    </row>
    <row r="333" spans="1:7">
      <c r="A333" t="s">
        <v>243</v>
      </c>
      <c r="C333" s="11">
        <f>'7.3'!$D$21+'7.3'!$D$26</f>
        <v>408892.27</v>
      </c>
      <c r="D333" s="11">
        <f>'7.3'!$E$21+'7.3'!$E$26</f>
        <v>413454.31</v>
      </c>
      <c r="E333" s="11">
        <f>C333-D333</f>
        <v>-4562.039999999979</v>
      </c>
    </row>
    <row r="334" spans="1:7">
      <c r="A334" t="s">
        <v>244</v>
      </c>
      <c r="C334" s="11">
        <f>'7.3'!$D$38</f>
        <v>499543.63</v>
      </c>
      <c r="D334" s="11">
        <f>'7.3'!$E$38</f>
        <v>666058.23</v>
      </c>
      <c r="E334" s="11">
        <f>C334-D334</f>
        <v>-166514.59999999998</v>
      </c>
    </row>
    <row r="335" spans="1:7">
      <c r="A335" t="s">
        <v>286</v>
      </c>
      <c r="C335" s="11"/>
      <c r="D335" s="11"/>
      <c r="E335" s="11"/>
    </row>
    <row r="336" spans="1:7">
      <c r="A336" t="s">
        <v>287</v>
      </c>
      <c r="C336" s="11">
        <f>'7.3'!$D$24</f>
        <v>2748252.0299999984</v>
      </c>
      <c r="D336" s="11">
        <f>'7.3'!$E$24</f>
        <v>1748252.0299999984</v>
      </c>
      <c r="E336" s="11">
        <f>C336-D336</f>
        <v>1000000</v>
      </c>
    </row>
    <row r="337" spans="1:157">
      <c r="A337" t="s">
        <v>288</v>
      </c>
      <c r="C337" s="11"/>
      <c r="D337" s="11"/>
      <c r="E337" s="11"/>
    </row>
    <row r="338" spans="1:157">
      <c r="C338" s="11"/>
      <c r="D338" s="11"/>
      <c r="E338" s="11">
        <f>-E327</f>
        <v>-4562.0500000000466</v>
      </c>
    </row>
    <row r="339" spans="1:157">
      <c r="C339" s="11"/>
      <c r="D339" s="11"/>
      <c r="E339" s="11">
        <f>-E328</f>
        <v>-166514.59999999998</v>
      </c>
    </row>
    <row r="340" spans="1:157">
      <c r="A340" t="s">
        <v>289</v>
      </c>
      <c r="C340" s="11"/>
      <c r="D340" s="11"/>
      <c r="E340" s="11">
        <f>-E333</f>
        <v>4562.039999999979</v>
      </c>
    </row>
    <row r="341" spans="1:157">
      <c r="A341" t="s">
        <v>290</v>
      </c>
      <c r="C341" s="11"/>
      <c r="D341" s="11"/>
      <c r="E341" s="11">
        <f>-E334</f>
        <v>166514.59999999998</v>
      </c>
    </row>
    <row r="342" spans="1:157">
      <c r="A342" t="s">
        <v>291</v>
      </c>
      <c r="C342" s="11"/>
      <c r="D342" s="11"/>
      <c r="E342" s="11">
        <f>-E333</f>
        <v>4562.039999999979</v>
      </c>
    </row>
    <row r="343" spans="1:157">
      <c r="A343" t="s">
        <v>292</v>
      </c>
      <c r="C343" s="11"/>
      <c r="D343" s="11"/>
      <c r="E343" s="11">
        <f>-E334</f>
        <v>166514.59999999998</v>
      </c>
    </row>
    <row r="344" spans="1:157">
      <c r="E344" s="5"/>
    </row>
    <row r="346" spans="1:157" ht="57.6">
      <c r="A346" s="6" t="s">
        <v>295</v>
      </c>
      <c r="B346" s="6"/>
      <c r="C346" s="6" t="s">
        <v>163</v>
      </c>
      <c r="D346" t="s">
        <v>164</v>
      </c>
      <c r="E346">
        <v>0</v>
      </c>
      <c r="F346">
        <v>10767</v>
      </c>
      <c r="G346" t="s">
        <v>165</v>
      </c>
      <c r="H346" t="s">
        <v>166</v>
      </c>
      <c r="I346" t="s">
        <v>167</v>
      </c>
      <c r="K346" t="s">
        <v>167</v>
      </c>
      <c r="O346" t="s">
        <v>168</v>
      </c>
      <c r="P346" t="s">
        <v>169</v>
      </c>
      <c r="Q346" t="s">
        <v>170</v>
      </c>
      <c r="R346" t="s">
        <v>167</v>
      </c>
      <c r="S346" t="s">
        <v>171</v>
      </c>
      <c r="U346" t="s">
        <v>167</v>
      </c>
      <c r="V346" t="s">
        <v>167</v>
      </c>
      <c r="W346" t="s">
        <v>172</v>
      </c>
      <c r="X346" t="s">
        <v>173</v>
      </c>
      <c r="Y346" t="s">
        <v>174</v>
      </c>
      <c r="Z346" t="s">
        <v>170</v>
      </c>
      <c r="AA346" t="s">
        <v>175</v>
      </c>
      <c r="AB346" t="s">
        <v>176</v>
      </c>
      <c r="AC346" t="s">
        <v>177</v>
      </c>
      <c r="AD346" t="s">
        <v>178</v>
      </c>
      <c r="AE346" t="s">
        <v>179</v>
      </c>
      <c r="AF346" s="3">
        <f>AG346</f>
        <v>44941</v>
      </c>
      <c r="AG346" s="3">
        <f>'8'!$C$7</f>
        <v>44941</v>
      </c>
      <c r="AH346" s="3">
        <f>AG346</f>
        <v>44941</v>
      </c>
      <c r="AK346" s="3">
        <f>'8'!$C$9</f>
        <v>45097</v>
      </c>
      <c r="AL346" s="3">
        <v>45838.958333333336</v>
      </c>
      <c r="AM346" s="3">
        <v>45473</v>
      </c>
      <c r="AN346" t="s">
        <v>180</v>
      </c>
      <c r="AP346" s="3">
        <v>45473</v>
      </c>
      <c r="AS346" t="s">
        <v>181</v>
      </c>
      <c r="AT346" t="s">
        <v>182</v>
      </c>
      <c r="AV346" t="s">
        <v>182</v>
      </c>
      <c r="AW346" s="5">
        <v>3046098.51</v>
      </c>
      <c r="AX346" s="7">
        <f>ER346</f>
        <v>590959.06999999983</v>
      </c>
      <c r="AY346">
        <v>0</v>
      </c>
      <c r="AZ346">
        <v>0</v>
      </c>
      <c r="BA346" t="s">
        <v>183</v>
      </c>
      <c r="BB346">
        <v>10</v>
      </c>
      <c r="BC346">
        <v>120</v>
      </c>
      <c r="BD346">
        <v>3650</v>
      </c>
      <c r="BE346" s="4">
        <f>BG346/365</f>
        <v>1.9698630136986301</v>
      </c>
      <c r="BF346" s="4">
        <f>BE346*12</f>
        <v>23.638356164383563</v>
      </c>
      <c r="BG346" s="4">
        <f>'8'!$C$53</f>
        <v>719</v>
      </c>
      <c r="BI346" t="s">
        <v>184</v>
      </c>
      <c r="BN346">
        <v>1</v>
      </c>
      <c r="BO346">
        <v>0</v>
      </c>
      <c r="BP346">
        <v>0</v>
      </c>
      <c r="BY346" t="s">
        <v>185</v>
      </c>
      <c r="BZ346" t="s">
        <v>186</v>
      </c>
      <c r="CA346" t="s">
        <v>187</v>
      </c>
      <c r="CB346" t="s">
        <v>188</v>
      </c>
      <c r="CC346" t="s">
        <v>189</v>
      </c>
      <c r="CD346" t="s">
        <v>190</v>
      </c>
      <c r="CE346" t="s">
        <v>191</v>
      </c>
      <c r="CF346" t="s">
        <v>192</v>
      </c>
      <c r="CG346" t="s">
        <v>193</v>
      </c>
      <c r="CH346" t="s">
        <v>194</v>
      </c>
      <c r="CI346" t="s">
        <v>195</v>
      </c>
      <c r="CJ346" t="s">
        <v>196</v>
      </c>
      <c r="CK346" t="s">
        <v>197</v>
      </c>
      <c r="CN346" t="s">
        <v>198</v>
      </c>
      <c r="CU346">
        <v>-32.188583870550602</v>
      </c>
      <c r="CV346">
        <v>28.055331967751801</v>
      </c>
      <c r="CW346" s="1">
        <v>3046098.51</v>
      </c>
      <c r="CX346">
        <v>0</v>
      </c>
      <c r="CZ346" s="1"/>
      <c r="DA346" s="1">
        <v>1</v>
      </c>
      <c r="DB346" s="1">
        <v>3036924.77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 t="s">
        <v>187</v>
      </c>
      <c r="DR346" s="1">
        <f>'8'!$C$39</f>
        <v>3046098.51</v>
      </c>
      <c r="DS346" s="1">
        <f>'8'!$C$39</f>
        <v>3046098.51</v>
      </c>
      <c r="DT346" s="1">
        <v>0</v>
      </c>
      <c r="DU346" s="1">
        <v>1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f>DS346+DT346+DV346-DW346+DX346-DY346+DZ346+EA346+EB346</f>
        <v>3046098.51</v>
      </c>
      <c r="EE346" s="1">
        <f>'8'!$C$40</f>
        <v>440064.76</v>
      </c>
      <c r="EF346" s="1">
        <f>'8'!$C$40</f>
        <v>440064.76</v>
      </c>
      <c r="EG346" s="2">
        <f>'8'!$C$46</f>
        <v>300000.09000000003</v>
      </c>
      <c r="EH346" s="1">
        <v>0</v>
      </c>
      <c r="EI346" s="1">
        <v>0</v>
      </c>
      <c r="EJ346" s="1">
        <v>0</v>
      </c>
      <c r="EK346" s="1">
        <f>EF346+EG346+EH346-EI346-EJ346</f>
        <v>740064.85000000009</v>
      </c>
      <c r="EL346" s="1">
        <f>'8'!$C$41</f>
        <v>1715074.5899999999</v>
      </c>
      <c r="EM346" s="1">
        <f>'8'!$C$41</f>
        <v>1715074.5899999999</v>
      </c>
      <c r="EN346" s="1">
        <v>0</v>
      </c>
      <c r="EO346" s="1">
        <v>0</v>
      </c>
      <c r="EP346" s="1">
        <v>0</v>
      </c>
      <c r="EQ346" s="1">
        <f>EM346+EN346-EO346-EP346</f>
        <v>1715074.5899999999</v>
      </c>
      <c r="ER346" s="1">
        <f>ED346-EK346-EQ346</f>
        <v>590959.06999999983</v>
      </c>
      <c r="ES346" s="1">
        <v>0</v>
      </c>
      <c r="ET346" s="1">
        <v>0</v>
      </c>
      <c r="EZ346" t="s">
        <v>170</v>
      </c>
      <c r="FA346" t="s">
        <v>199</v>
      </c>
    </row>
    <row r="347" spans="1:157" ht="57.6">
      <c r="A347" s="6" t="s">
        <v>295</v>
      </c>
      <c r="B347" s="6"/>
      <c r="C347" s="6" t="s">
        <v>200</v>
      </c>
      <c r="D347" t="s">
        <v>164</v>
      </c>
      <c r="E347">
        <v>0</v>
      </c>
      <c r="F347">
        <v>10767</v>
      </c>
      <c r="G347" t="s">
        <v>165</v>
      </c>
      <c r="H347" t="s">
        <v>166</v>
      </c>
      <c r="I347" t="s">
        <v>167</v>
      </c>
      <c r="K347" t="s">
        <v>167</v>
      </c>
      <c r="O347" t="s">
        <v>168</v>
      </c>
      <c r="P347" t="s">
        <v>169</v>
      </c>
      <c r="Q347" t="s">
        <v>170</v>
      </c>
      <c r="R347" t="s">
        <v>167</v>
      </c>
      <c r="S347" t="s">
        <v>171</v>
      </c>
      <c r="U347" t="s">
        <v>167</v>
      </c>
      <c r="V347" t="s">
        <v>167</v>
      </c>
      <c r="W347" t="s">
        <v>172</v>
      </c>
      <c r="X347" t="s">
        <v>173</v>
      </c>
      <c r="Y347" t="s">
        <v>174</v>
      </c>
      <c r="Z347" t="s">
        <v>170</v>
      </c>
      <c r="AA347" t="s">
        <v>175</v>
      </c>
      <c r="AB347" t="s">
        <v>176</v>
      </c>
      <c r="AC347" t="s">
        <v>177</v>
      </c>
      <c r="AD347" t="s">
        <v>178</v>
      </c>
      <c r="AE347" t="s">
        <v>179</v>
      </c>
      <c r="AF347" s="3">
        <f>AG347</f>
        <v>44941</v>
      </c>
      <c r="AG347" s="3">
        <f>'8'!$D$7</f>
        <v>44941</v>
      </c>
      <c r="AH347" s="3">
        <f>AG347</f>
        <v>44941</v>
      </c>
      <c r="AK347" s="3">
        <f>'8'!$D$9</f>
        <v>45097</v>
      </c>
      <c r="AL347" s="3">
        <v>45838.958333333336</v>
      </c>
      <c r="AM347" s="3">
        <v>45473</v>
      </c>
      <c r="AN347" t="s">
        <v>180</v>
      </c>
      <c r="AP347" s="3">
        <v>45473</v>
      </c>
      <c r="AS347" t="s">
        <v>181</v>
      </c>
      <c r="AT347" t="s">
        <v>182</v>
      </c>
      <c r="AV347" t="s">
        <v>182</v>
      </c>
      <c r="AW347" s="5">
        <v>3046098.51</v>
      </c>
      <c r="AX347" s="7">
        <f>ER347</f>
        <v>2296674.9499999997</v>
      </c>
      <c r="AY347">
        <v>0</v>
      </c>
      <c r="AZ347">
        <v>0</v>
      </c>
      <c r="BA347" t="s">
        <v>183</v>
      </c>
      <c r="BB347">
        <v>10</v>
      </c>
      <c r="BC347">
        <v>120</v>
      </c>
      <c r="BD347">
        <v>3650</v>
      </c>
      <c r="BE347" s="4">
        <f>BG347/365</f>
        <v>7.5397260273972604</v>
      </c>
      <c r="BF347" s="4">
        <f>BE347*12</f>
        <v>90.476712328767121</v>
      </c>
      <c r="BG347" s="4">
        <f>'8'!$D$53</f>
        <v>2752</v>
      </c>
      <c r="BI347" t="s">
        <v>184</v>
      </c>
      <c r="BN347">
        <v>1</v>
      </c>
      <c r="BO347">
        <v>0</v>
      </c>
      <c r="BP347">
        <v>0</v>
      </c>
      <c r="BY347" t="s">
        <v>185</v>
      </c>
      <c r="BZ347" t="s">
        <v>186</v>
      </c>
      <c r="CA347" t="s">
        <v>187</v>
      </c>
      <c r="CB347" t="s">
        <v>188</v>
      </c>
      <c r="CC347" t="s">
        <v>189</v>
      </c>
      <c r="CD347" t="s">
        <v>190</v>
      </c>
      <c r="CE347" t="s">
        <v>191</v>
      </c>
      <c r="CF347" t="s">
        <v>192</v>
      </c>
      <c r="CG347" t="s">
        <v>193</v>
      </c>
      <c r="CH347" t="s">
        <v>194</v>
      </c>
      <c r="CI347" t="s">
        <v>195</v>
      </c>
      <c r="CJ347" t="s">
        <v>196</v>
      </c>
      <c r="CK347" t="s">
        <v>197</v>
      </c>
      <c r="CN347" t="s">
        <v>198</v>
      </c>
      <c r="CU347">
        <v>-32.188583870550602</v>
      </c>
      <c r="CV347">
        <v>28.055331967751801</v>
      </c>
      <c r="CW347" s="1">
        <v>3046098.51</v>
      </c>
      <c r="CX347">
        <v>0</v>
      </c>
      <c r="CZ347" s="1"/>
      <c r="DA347" s="1">
        <v>1</v>
      </c>
      <c r="DB347" s="1">
        <v>3036924.77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 t="s">
        <v>187</v>
      </c>
      <c r="DR347" s="1">
        <f>'8'!$D$39</f>
        <v>3046098.51</v>
      </c>
      <c r="DS347" s="1">
        <f>'8'!$D$39</f>
        <v>3046098.51</v>
      </c>
      <c r="DT347" s="1">
        <v>0</v>
      </c>
      <c r="DU347" s="1">
        <v>1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f>DS347+DT347+DV347-DW347+DX347-DY347+DZ347+EA347+EB347</f>
        <v>3046098.51</v>
      </c>
      <c r="EE347" s="1">
        <f>'8'!$D$40</f>
        <v>442565.52999999997</v>
      </c>
      <c r="EF347" s="1">
        <f>'8'!$D$40</f>
        <v>442565.52999999997</v>
      </c>
      <c r="EG347" s="2">
        <f>'8'!$D$46</f>
        <v>304609.87</v>
      </c>
      <c r="EH347" s="1">
        <v>0</v>
      </c>
      <c r="EI347" s="1">
        <v>0</v>
      </c>
      <c r="EJ347" s="1">
        <v>0</v>
      </c>
      <c r="EK347" s="1">
        <f>EF347+EG347+EH347-EI347-EJ347</f>
        <v>747175.39999999991</v>
      </c>
      <c r="EL347" s="1">
        <f>'8'!$D$41</f>
        <v>2248.160000000149</v>
      </c>
      <c r="EM347" s="1">
        <f>'8'!$D$41</f>
        <v>2248.160000000149</v>
      </c>
      <c r="EN347" s="1">
        <v>0</v>
      </c>
      <c r="EO347" s="1">
        <v>0</v>
      </c>
      <c r="EP347" s="1">
        <v>0</v>
      </c>
      <c r="EQ347" s="1">
        <f>EM347+EN347-EO347-EP347</f>
        <v>2248.160000000149</v>
      </c>
      <c r="ER347" s="1">
        <f>ED347-EK347-EQ347</f>
        <v>2296674.9499999997</v>
      </c>
      <c r="ES347" s="1">
        <v>0</v>
      </c>
      <c r="ET347" s="1">
        <v>0</v>
      </c>
      <c r="EZ347" t="s">
        <v>170</v>
      </c>
      <c r="FA347" t="s">
        <v>199</v>
      </c>
    </row>
    <row r="348" spans="1:157" ht="58.15" thickBot="1">
      <c r="A348" s="6" t="s">
        <v>295</v>
      </c>
      <c r="B348" s="6"/>
      <c r="C348" s="1" t="s">
        <v>201</v>
      </c>
      <c r="CZ348" s="1"/>
      <c r="DS348" s="8">
        <f>DS346-DS347</f>
        <v>0</v>
      </c>
      <c r="ED348" s="8">
        <f>ED346-ED347</f>
        <v>0</v>
      </c>
      <c r="EE348" s="8">
        <f t="shared" ref="EE348" si="49">EE346-EE347</f>
        <v>-2500.7699999999604</v>
      </c>
      <c r="EF348" s="8">
        <f t="shared" ref="EF348" si="50">EF346-EF347</f>
        <v>-2500.7699999999604</v>
      </c>
      <c r="EG348" s="8">
        <f>EG346-EG347</f>
        <v>-4609.7799999999697</v>
      </c>
      <c r="EK348" s="8">
        <f>EK346-EK347</f>
        <v>-7110.5499999998137</v>
      </c>
      <c r="EM348" s="8">
        <f>EM346-EM347</f>
        <v>1712826.4299999997</v>
      </c>
      <c r="EN348" s="8">
        <f>EN346-EN347</f>
        <v>0</v>
      </c>
      <c r="EO348" s="8">
        <f t="shared" ref="EO348:EQ348" si="51">EO346-EO347</f>
        <v>0</v>
      </c>
      <c r="EP348" s="8">
        <f t="shared" si="51"/>
        <v>0</v>
      </c>
      <c r="EQ348" s="8">
        <f t="shared" si="51"/>
        <v>1712826.4299999997</v>
      </c>
      <c r="ER348" s="8">
        <f>ER346-ER347</f>
        <v>-1705715.88</v>
      </c>
    </row>
    <row r="349" spans="1:157" ht="15" thickTop="1">
      <c r="A349" s="5"/>
      <c r="B349" s="5"/>
      <c r="C349" s="5"/>
    </row>
    <row r="350" spans="1:157">
      <c r="A350" s="5" t="s">
        <v>296</v>
      </c>
      <c r="B350" s="3">
        <v>44941</v>
      </c>
      <c r="C350" s="5"/>
    </row>
    <row r="351" spans="1:157">
      <c r="A351" s="5" t="s">
        <v>275</v>
      </c>
      <c r="B351" s="3">
        <v>45097</v>
      </c>
      <c r="C351" s="5"/>
    </row>
    <row r="352" spans="1:157">
      <c r="A352" s="5" t="s">
        <v>297</v>
      </c>
      <c r="B352" s="5">
        <v>1460</v>
      </c>
      <c r="C352" s="5"/>
    </row>
    <row r="353" spans="1:7">
      <c r="A353" s="5" t="s">
        <v>298</v>
      </c>
      <c r="B353" s="3">
        <v>45275</v>
      </c>
      <c r="C353" s="5"/>
    </row>
    <row r="354" spans="1:7">
      <c r="A354" s="5" t="s">
        <v>299</v>
      </c>
      <c r="B354" s="5">
        <v>3315</v>
      </c>
      <c r="C354" s="5"/>
    </row>
    <row r="355" spans="1:7">
      <c r="A355" s="5" t="s">
        <v>274</v>
      </c>
      <c r="B355" s="3">
        <v>45107</v>
      </c>
      <c r="C355" s="5"/>
    </row>
    <row r="356" spans="1:7">
      <c r="A356" s="5" t="s">
        <v>276</v>
      </c>
      <c r="B356" s="3">
        <v>45473</v>
      </c>
      <c r="C356" s="5"/>
    </row>
    <row r="357" spans="1:7">
      <c r="A357" s="5" t="s">
        <v>300</v>
      </c>
      <c r="B357" s="3">
        <v>45838</v>
      </c>
      <c r="C357" s="5"/>
    </row>
    <row r="358" spans="1:7">
      <c r="A358" s="5"/>
      <c r="B358" s="5"/>
      <c r="C358" s="5"/>
    </row>
    <row r="359" spans="1:7">
      <c r="A359" s="5"/>
      <c r="B359" s="5"/>
      <c r="C359" s="5"/>
    </row>
    <row r="360" spans="1:7">
      <c r="A360" s="5"/>
      <c r="B360" s="5"/>
      <c r="C360" s="5"/>
    </row>
    <row r="361" spans="1:7">
      <c r="A361" s="5"/>
      <c r="B361" s="5"/>
      <c r="C361" s="5"/>
    </row>
    <row r="362" spans="1:7">
      <c r="A362" s="9" t="s">
        <v>202</v>
      </c>
      <c r="B362" s="9"/>
      <c r="C362" s="9" t="s">
        <v>203</v>
      </c>
      <c r="D362" s="10" t="s">
        <v>204</v>
      </c>
      <c r="E362" s="10" t="s">
        <v>205</v>
      </c>
    </row>
    <row r="363" spans="1:7">
      <c r="A363" s="6" t="s">
        <v>271</v>
      </c>
      <c r="B363" s="6"/>
      <c r="C363" s="11">
        <f>'8'!$C$5</f>
        <v>3046098.51</v>
      </c>
      <c r="D363" s="11">
        <f>'8'!$D$5</f>
        <v>3046098.51</v>
      </c>
      <c r="E363" s="11">
        <f>D363-C363</f>
        <v>0</v>
      </c>
      <c r="G363" s="5"/>
    </row>
    <row r="364" spans="1:7">
      <c r="A364" s="6" t="s">
        <v>207</v>
      </c>
      <c r="B364" s="6"/>
      <c r="C364" s="11"/>
      <c r="D364" s="11"/>
      <c r="E364" s="11"/>
    </row>
    <row r="365" spans="1:7">
      <c r="A365" s="6" t="s">
        <v>208</v>
      </c>
      <c r="B365" s="6"/>
      <c r="C365" s="11"/>
      <c r="D365" s="11"/>
      <c r="E365" s="11"/>
    </row>
    <row r="366" spans="1:7">
      <c r="A366" s="6" t="s">
        <v>263</v>
      </c>
      <c r="B366" s="6"/>
      <c r="C366" s="11">
        <f>'8'!$C$24</f>
        <v>1715074.5899999999</v>
      </c>
      <c r="D366" s="11">
        <f>'8'!$D$24</f>
        <v>1715074.5899999999</v>
      </c>
      <c r="E366" s="11">
        <f t="shared" ref="E366:E373" si="52">C366-D366</f>
        <v>0</v>
      </c>
    </row>
    <row r="367" spans="1:7">
      <c r="A367" s="6" t="s">
        <v>264</v>
      </c>
      <c r="B367" s="6"/>
      <c r="C367" s="11">
        <f>'8'!$C$41</f>
        <v>1715074.5899999999</v>
      </c>
      <c r="D367" s="11">
        <f>'8'!$D$41</f>
        <v>2248.160000000149</v>
      </c>
      <c r="E367" s="11">
        <f t="shared" si="52"/>
        <v>1712826.4299999997</v>
      </c>
    </row>
    <row r="368" spans="1:7">
      <c r="A368" s="6" t="s">
        <v>265</v>
      </c>
      <c r="B368" s="6"/>
      <c r="C368" s="11"/>
      <c r="D368" s="11"/>
      <c r="E368" s="11"/>
    </row>
    <row r="369" spans="1:157">
      <c r="A369" s="6" t="s">
        <v>301</v>
      </c>
      <c r="B369" s="6"/>
      <c r="C369" s="11"/>
      <c r="D369" s="11"/>
      <c r="E369" s="11">
        <f t="shared" si="52"/>
        <v>0</v>
      </c>
    </row>
    <row r="370" spans="1:157">
      <c r="A370" s="6" t="s">
        <v>302</v>
      </c>
      <c r="B370" s="6"/>
      <c r="C370" s="11">
        <f>'8'!$C$36</f>
        <v>0</v>
      </c>
      <c r="D370" s="11">
        <f>'8'!$D$36</f>
        <v>1712826.4299999997</v>
      </c>
      <c r="E370" s="11">
        <f t="shared" si="52"/>
        <v>-1712826.4299999997</v>
      </c>
    </row>
    <row r="371" spans="1:157">
      <c r="A371" s="6" t="s">
        <v>211</v>
      </c>
      <c r="B371" s="6"/>
      <c r="C371" s="11">
        <f>'8'!$C$13+'8'!$C$19</f>
        <v>139243.09</v>
      </c>
      <c r="D371" s="11">
        <f>'8'!$D$13+'8'!$D$19</f>
        <v>139243.09</v>
      </c>
      <c r="E371" s="11">
        <f t="shared" si="52"/>
        <v>0</v>
      </c>
    </row>
    <row r="372" spans="1:157">
      <c r="A372" s="6" t="s">
        <v>212</v>
      </c>
      <c r="B372" s="6"/>
      <c r="C372" s="11">
        <f>'8'!$C$34+'8'!$C$35</f>
        <v>300821.67</v>
      </c>
      <c r="D372" s="11">
        <f>'8'!$D$34+'8'!$D$35</f>
        <v>303322.43999999994</v>
      </c>
      <c r="E372" s="11">
        <f t="shared" si="52"/>
        <v>-2500.7699999999604</v>
      </c>
    </row>
    <row r="373" spans="1:157">
      <c r="A373" s="6" t="s">
        <v>213</v>
      </c>
      <c r="B373" s="6"/>
      <c r="C373" s="11">
        <f>'8'!$C$46</f>
        <v>300000.09000000003</v>
      </c>
      <c r="D373" s="11">
        <f>'8'!$D$46</f>
        <v>304609.87</v>
      </c>
      <c r="E373" s="11">
        <f t="shared" si="52"/>
        <v>-4609.7799999999697</v>
      </c>
    </row>
    <row r="374" spans="1:157">
      <c r="A374" s="6" t="s">
        <v>253</v>
      </c>
      <c r="B374" s="6"/>
      <c r="C374" s="11">
        <f>C371</f>
        <v>139243.09</v>
      </c>
      <c r="D374" s="11">
        <f>D371</f>
        <v>139243.09</v>
      </c>
      <c r="E374" s="11">
        <f>D374-C374</f>
        <v>0</v>
      </c>
    </row>
    <row r="375" spans="1:157">
      <c r="A375" s="6" t="s">
        <v>254</v>
      </c>
      <c r="B375" s="6"/>
      <c r="C375" s="11">
        <f t="shared" ref="C375:D376" si="53">C372</f>
        <v>300821.67</v>
      </c>
      <c r="D375" s="11">
        <f t="shared" si="53"/>
        <v>303322.43999999994</v>
      </c>
      <c r="E375" s="11">
        <f>D375-C375</f>
        <v>2500.7699999999604</v>
      </c>
      <c r="EF375" s="5"/>
    </row>
    <row r="376" spans="1:157">
      <c r="A376" s="6" t="s">
        <v>215</v>
      </c>
      <c r="C376" s="11">
        <f t="shared" si="53"/>
        <v>300000.09000000003</v>
      </c>
      <c r="D376" s="11">
        <f t="shared" si="53"/>
        <v>304609.87</v>
      </c>
      <c r="E376" s="11">
        <f>D376-C376</f>
        <v>4609.7799999999697</v>
      </c>
    </row>
    <row r="379" spans="1:157" ht="57.6">
      <c r="A379" s="6" t="s">
        <v>303</v>
      </c>
      <c r="B379" s="6"/>
      <c r="C379" s="6" t="s">
        <v>163</v>
      </c>
      <c r="D379" t="s">
        <v>164</v>
      </c>
      <c r="E379">
        <v>0</v>
      </c>
      <c r="F379">
        <v>10767</v>
      </c>
      <c r="G379" t="s">
        <v>165</v>
      </c>
      <c r="H379" t="s">
        <v>166</v>
      </c>
      <c r="I379" t="s">
        <v>167</v>
      </c>
      <c r="K379" t="s">
        <v>167</v>
      </c>
      <c r="O379" t="s">
        <v>168</v>
      </c>
      <c r="P379" t="s">
        <v>169</v>
      </c>
      <c r="Q379" t="s">
        <v>170</v>
      </c>
      <c r="R379" t="s">
        <v>167</v>
      </c>
      <c r="S379" t="s">
        <v>171</v>
      </c>
      <c r="U379" t="s">
        <v>167</v>
      </c>
      <c r="V379" t="s">
        <v>167</v>
      </c>
      <c r="W379" t="s">
        <v>172</v>
      </c>
      <c r="X379" t="s">
        <v>173</v>
      </c>
      <c r="Y379" t="s">
        <v>174</v>
      </c>
      <c r="Z379" t="s">
        <v>170</v>
      </c>
      <c r="AA379" t="s">
        <v>175</v>
      </c>
      <c r="AB379" t="s">
        <v>176</v>
      </c>
      <c r="AC379" t="s">
        <v>177</v>
      </c>
      <c r="AD379" t="s">
        <v>178</v>
      </c>
      <c r="AE379" t="s">
        <v>179</v>
      </c>
      <c r="AF379" s="3">
        <f>AG379</f>
        <v>44941</v>
      </c>
      <c r="AG379" s="3">
        <f>'8'!$C$7</f>
        <v>44941</v>
      </c>
      <c r="AH379" s="3">
        <f>AG379</f>
        <v>44941</v>
      </c>
      <c r="AK379" s="3">
        <f>'8'!$C$9</f>
        <v>45097</v>
      </c>
      <c r="AL379" s="3">
        <v>45838.958333333336</v>
      </c>
      <c r="AM379" s="3">
        <v>45473</v>
      </c>
      <c r="AN379" t="s">
        <v>180</v>
      </c>
      <c r="AP379" s="3">
        <v>45473</v>
      </c>
      <c r="AS379" t="s">
        <v>181</v>
      </c>
      <c r="AT379" t="s">
        <v>182</v>
      </c>
      <c r="AV379" t="s">
        <v>182</v>
      </c>
      <c r="AW379" s="5">
        <v>3046098.51</v>
      </c>
      <c r="AX379" s="7">
        <f>ER379</f>
        <v>590959.06999999983</v>
      </c>
      <c r="AY379">
        <v>0</v>
      </c>
      <c r="AZ379">
        <v>0</v>
      </c>
      <c r="BA379" t="s">
        <v>183</v>
      </c>
      <c r="BB379">
        <v>10</v>
      </c>
      <c r="BC379">
        <v>120</v>
      </c>
      <c r="BD379">
        <v>3650</v>
      </c>
      <c r="BE379" s="4">
        <f>BG379/365</f>
        <v>1.9698630136986301</v>
      </c>
      <c r="BF379" s="4">
        <f>BE379*12</f>
        <v>23.638356164383563</v>
      </c>
      <c r="BG379" s="4">
        <f>'8'!$C$53</f>
        <v>719</v>
      </c>
      <c r="BI379" t="s">
        <v>184</v>
      </c>
      <c r="BN379">
        <v>1</v>
      </c>
      <c r="BO379">
        <v>0</v>
      </c>
      <c r="BP379">
        <v>0</v>
      </c>
      <c r="BY379" t="s">
        <v>185</v>
      </c>
      <c r="BZ379" t="s">
        <v>186</v>
      </c>
      <c r="CA379" t="s">
        <v>187</v>
      </c>
      <c r="CB379" t="s">
        <v>188</v>
      </c>
      <c r="CC379" t="s">
        <v>189</v>
      </c>
      <c r="CD379" t="s">
        <v>190</v>
      </c>
      <c r="CE379" t="s">
        <v>191</v>
      </c>
      <c r="CF379" t="s">
        <v>192</v>
      </c>
      <c r="CG379" t="s">
        <v>193</v>
      </c>
      <c r="CH379" t="s">
        <v>194</v>
      </c>
      <c r="CI379" t="s">
        <v>195</v>
      </c>
      <c r="CJ379" t="s">
        <v>196</v>
      </c>
      <c r="CK379" t="s">
        <v>197</v>
      </c>
      <c r="CN379" t="s">
        <v>198</v>
      </c>
      <c r="CU379">
        <v>-32.188583870550602</v>
      </c>
      <c r="CV379">
        <v>28.055331967751801</v>
      </c>
      <c r="CW379" s="1">
        <v>3046098.51</v>
      </c>
      <c r="CX379">
        <v>0</v>
      </c>
      <c r="CZ379" s="1"/>
      <c r="DA379" s="1">
        <v>1</v>
      </c>
      <c r="DB379" s="1">
        <v>3036924.77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 t="s">
        <v>187</v>
      </c>
      <c r="DR379" s="1">
        <f>'8'!$C$39</f>
        <v>3046098.51</v>
      </c>
      <c r="DS379" s="1">
        <f>'8'!$C$39</f>
        <v>3046098.51</v>
      </c>
      <c r="DT379" s="1">
        <v>0</v>
      </c>
      <c r="DU379" s="1">
        <v>1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f>DS379+DT379+DV379-DW379+DX379-DY379+DZ379+EA379+EB379</f>
        <v>3046098.51</v>
      </c>
      <c r="EE379" s="1">
        <f>'8'!$C$40</f>
        <v>440064.76</v>
      </c>
      <c r="EF379" s="1">
        <f>'8'!$C$40</f>
        <v>440064.76</v>
      </c>
      <c r="EG379" s="2">
        <f>'8'!$C$46</f>
        <v>300000.09000000003</v>
      </c>
      <c r="EH379" s="1">
        <v>0</v>
      </c>
      <c r="EI379" s="1">
        <v>0</v>
      </c>
      <c r="EJ379" s="1">
        <v>0</v>
      </c>
      <c r="EK379" s="1">
        <f>EF379+EG379+EH379-EI379-EJ379</f>
        <v>740064.85000000009</v>
      </c>
      <c r="EL379" s="1">
        <f>'8'!$C$41</f>
        <v>1715074.5899999999</v>
      </c>
      <c r="EM379" s="1">
        <f>'8'!$C$41</f>
        <v>1715074.5899999999</v>
      </c>
      <c r="EN379" s="1">
        <v>0</v>
      </c>
      <c r="EO379" s="1">
        <v>0</v>
      </c>
      <c r="EP379" s="1">
        <v>0</v>
      </c>
      <c r="EQ379" s="1">
        <f>EM379+EN379-EO379-EP379</f>
        <v>1715074.5899999999</v>
      </c>
      <c r="ER379" s="1">
        <f>ED379-EK379-EQ379</f>
        <v>590959.06999999983</v>
      </c>
      <c r="ES379" s="1">
        <v>0</v>
      </c>
      <c r="ET379" s="1">
        <v>0</v>
      </c>
      <c r="EZ379" t="s">
        <v>170</v>
      </c>
      <c r="FA379" t="s">
        <v>199</v>
      </c>
    </row>
    <row r="380" spans="1:157" ht="57.6">
      <c r="A380" s="6" t="s">
        <v>303</v>
      </c>
      <c r="B380" s="6"/>
      <c r="C380" s="6" t="s">
        <v>200</v>
      </c>
      <c r="D380" t="s">
        <v>164</v>
      </c>
      <c r="E380">
        <v>0</v>
      </c>
      <c r="F380">
        <v>10767</v>
      </c>
      <c r="G380" t="s">
        <v>165</v>
      </c>
      <c r="H380" t="s">
        <v>166</v>
      </c>
      <c r="I380" t="s">
        <v>167</v>
      </c>
      <c r="K380" t="s">
        <v>167</v>
      </c>
      <c r="O380" t="s">
        <v>168</v>
      </c>
      <c r="P380" t="s">
        <v>169</v>
      </c>
      <c r="Q380" t="s">
        <v>170</v>
      </c>
      <c r="R380" t="s">
        <v>167</v>
      </c>
      <c r="S380" t="s">
        <v>171</v>
      </c>
      <c r="U380" t="s">
        <v>167</v>
      </c>
      <c r="V380" t="s">
        <v>167</v>
      </c>
      <c r="W380" t="s">
        <v>172</v>
      </c>
      <c r="X380" t="s">
        <v>173</v>
      </c>
      <c r="Y380" t="s">
        <v>174</v>
      </c>
      <c r="Z380" t="s">
        <v>170</v>
      </c>
      <c r="AA380" t="s">
        <v>175</v>
      </c>
      <c r="AB380" t="s">
        <v>176</v>
      </c>
      <c r="AC380" t="s">
        <v>177</v>
      </c>
      <c r="AD380" t="s">
        <v>178</v>
      </c>
      <c r="AE380" t="s">
        <v>179</v>
      </c>
      <c r="AF380" s="3">
        <f>AG380</f>
        <v>44941</v>
      </c>
      <c r="AG380" s="3">
        <f>'8'!$E$7</f>
        <v>44941</v>
      </c>
      <c r="AH380" s="3">
        <f>AG380</f>
        <v>44941</v>
      </c>
      <c r="AK380" s="3">
        <f>'8'!$E$9</f>
        <v>45097</v>
      </c>
      <c r="AL380" s="3">
        <v>45838.958333333336</v>
      </c>
      <c r="AM380" s="3">
        <v>45473</v>
      </c>
      <c r="AN380" t="s">
        <v>180</v>
      </c>
      <c r="AP380" s="3">
        <v>45473</v>
      </c>
      <c r="AS380" t="s">
        <v>181</v>
      </c>
      <c r="AT380" t="s">
        <v>182</v>
      </c>
      <c r="AV380" t="s">
        <v>182</v>
      </c>
      <c r="AW380" s="5">
        <v>3046098.51</v>
      </c>
      <c r="AX380" s="7">
        <f>ER380</f>
        <v>1384017.27</v>
      </c>
      <c r="AY380">
        <v>0</v>
      </c>
      <c r="AZ380">
        <v>0</v>
      </c>
      <c r="BA380" t="s">
        <v>183</v>
      </c>
      <c r="BB380">
        <v>10</v>
      </c>
      <c r="BC380">
        <v>120</v>
      </c>
      <c r="BD380">
        <v>3650</v>
      </c>
      <c r="BE380" s="4">
        <f>BG380/365</f>
        <v>4.5452054794520551</v>
      </c>
      <c r="BF380" s="4">
        <f>BE380*12</f>
        <v>54.542465753424665</v>
      </c>
      <c r="BG380" s="4">
        <f>'8'!$E$53</f>
        <v>1659</v>
      </c>
      <c r="BI380" t="s">
        <v>184</v>
      </c>
      <c r="BN380">
        <v>1</v>
      </c>
      <c r="BO380">
        <v>0</v>
      </c>
      <c r="BP380">
        <v>0</v>
      </c>
      <c r="BY380" t="s">
        <v>185</v>
      </c>
      <c r="BZ380" t="s">
        <v>186</v>
      </c>
      <c r="CA380" t="s">
        <v>187</v>
      </c>
      <c r="CB380" t="s">
        <v>188</v>
      </c>
      <c r="CC380" t="s">
        <v>189</v>
      </c>
      <c r="CD380" t="s">
        <v>190</v>
      </c>
      <c r="CE380" t="s">
        <v>191</v>
      </c>
      <c r="CF380" t="s">
        <v>192</v>
      </c>
      <c r="CG380" t="s">
        <v>193</v>
      </c>
      <c r="CH380" t="s">
        <v>194</v>
      </c>
      <c r="CI380" t="s">
        <v>195</v>
      </c>
      <c r="CJ380" t="s">
        <v>196</v>
      </c>
      <c r="CK380" t="s">
        <v>197</v>
      </c>
      <c r="CN380" t="s">
        <v>198</v>
      </c>
      <c r="CU380">
        <v>-32.188583870550602</v>
      </c>
      <c r="CV380">
        <v>28.055331967751801</v>
      </c>
      <c r="CW380" s="1">
        <v>3046098.51</v>
      </c>
      <c r="CX380">
        <v>0</v>
      </c>
      <c r="CZ380" s="1"/>
      <c r="DA380" s="1">
        <v>1</v>
      </c>
      <c r="DB380" s="1">
        <v>3036924.77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 t="s">
        <v>187</v>
      </c>
      <c r="DR380" s="1">
        <f>'8'!$E$39</f>
        <v>3046098.51</v>
      </c>
      <c r="DS380" s="1">
        <f>'8'!$E$39</f>
        <v>3046098.51</v>
      </c>
      <c r="DT380" s="1">
        <v>0</v>
      </c>
      <c r="DU380" s="1">
        <v>1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f>DS380+DT380+DV380-DW380+DX380-DY380+DZ380+EA380+EB380</f>
        <v>3046098.51</v>
      </c>
      <c r="EE380" s="1">
        <f>'8'!$E$40</f>
        <v>442506.16</v>
      </c>
      <c r="EF380" s="1">
        <f>'8'!$E$40</f>
        <v>442506.16</v>
      </c>
      <c r="EG380" s="2">
        <f>'8'!$E$46</f>
        <v>304500.49</v>
      </c>
      <c r="EH380" s="1">
        <v>0</v>
      </c>
      <c r="EI380" s="1">
        <v>0</v>
      </c>
      <c r="EJ380" s="1">
        <v>0</v>
      </c>
      <c r="EK380" s="1">
        <f>EF380+EG380+EH380-EI380-EJ380</f>
        <v>747006.64999999991</v>
      </c>
      <c r="EL380" s="1">
        <f>'8'!$E$41</f>
        <v>915074.58999999985</v>
      </c>
      <c r="EM380" s="1">
        <f>'8'!$E$41</f>
        <v>915074.58999999985</v>
      </c>
      <c r="EN380" s="1">
        <v>0</v>
      </c>
      <c r="EO380" s="1">
        <v>0</v>
      </c>
      <c r="EP380" s="1">
        <v>0</v>
      </c>
      <c r="EQ380" s="1">
        <f>EM380+EN380-EO380-EP380</f>
        <v>915074.58999999985</v>
      </c>
      <c r="ER380" s="1">
        <f>ED380-EK380-EQ380</f>
        <v>1384017.27</v>
      </c>
      <c r="ES380" s="1">
        <v>0</v>
      </c>
      <c r="ET380" s="1">
        <v>0</v>
      </c>
      <c r="EZ380" t="s">
        <v>170</v>
      </c>
      <c r="FA380" t="s">
        <v>199</v>
      </c>
    </row>
    <row r="381" spans="1:157" ht="58.15" thickBot="1">
      <c r="A381" s="6" t="s">
        <v>303</v>
      </c>
      <c r="B381" s="6"/>
      <c r="C381" s="1" t="s">
        <v>201</v>
      </c>
      <c r="CZ381" s="1"/>
      <c r="DS381" s="8">
        <f>DS379-DS380</f>
        <v>0</v>
      </c>
      <c r="ED381" s="8">
        <f>ED379-ED380</f>
        <v>0</v>
      </c>
      <c r="EE381" s="8">
        <f t="shared" ref="EE381:EF381" si="54">EE379-EE380</f>
        <v>-2441.3999999999651</v>
      </c>
      <c r="EF381" s="8">
        <f t="shared" si="54"/>
        <v>-2441.3999999999651</v>
      </c>
      <c r="EG381" s="8">
        <f>EG379-EG380</f>
        <v>-4500.3999999999651</v>
      </c>
      <c r="EK381" s="8">
        <f>EK379-EK380</f>
        <v>-6941.7999999998137</v>
      </c>
      <c r="EM381" s="8">
        <f>EM379-EM380</f>
        <v>800000</v>
      </c>
      <c r="EN381" s="8">
        <f>EN379-EN380</f>
        <v>0</v>
      </c>
      <c r="EO381" s="8">
        <f t="shared" ref="EO381" si="55">EO379-EO380</f>
        <v>0</v>
      </c>
      <c r="EP381" s="8">
        <f t="shared" ref="EP381" si="56">EP379-EP380</f>
        <v>0</v>
      </c>
      <c r="EQ381" s="8">
        <f t="shared" ref="EQ381" si="57">EQ379-EQ380</f>
        <v>800000</v>
      </c>
      <c r="ER381" s="8">
        <f>ER379-ER380</f>
        <v>-793058.20000000019</v>
      </c>
    </row>
    <row r="382" spans="1:157" ht="15" thickTop="1">
      <c r="A382" s="5"/>
      <c r="B382" s="5"/>
      <c r="C382" s="5"/>
    </row>
    <row r="383" spans="1:157">
      <c r="A383" s="5" t="s">
        <v>296</v>
      </c>
      <c r="B383" s="3">
        <v>44941</v>
      </c>
      <c r="C383" s="5"/>
    </row>
    <row r="384" spans="1:157">
      <c r="A384" s="5" t="s">
        <v>275</v>
      </c>
      <c r="B384" s="3">
        <v>45097</v>
      </c>
      <c r="C384" s="5"/>
    </row>
    <row r="385" spans="1:7">
      <c r="A385" s="5" t="s">
        <v>297</v>
      </c>
      <c r="B385" s="5">
        <v>1460</v>
      </c>
      <c r="C385" s="5"/>
    </row>
    <row r="386" spans="1:7">
      <c r="A386" s="5" t="s">
        <v>298</v>
      </c>
      <c r="B386" s="3">
        <v>45275</v>
      </c>
      <c r="C386" s="5"/>
    </row>
    <row r="387" spans="1:7">
      <c r="A387" s="5" t="s">
        <v>299</v>
      </c>
      <c r="B387" s="5">
        <v>3315</v>
      </c>
      <c r="C387" s="5"/>
    </row>
    <row r="388" spans="1:7">
      <c r="A388" s="5" t="s">
        <v>274</v>
      </c>
      <c r="B388" s="3">
        <v>45107</v>
      </c>
      <c r="C388" s="5"/>
    </row>
    <row r="389" spans="1:7">
      <c r="A389" s="5" t="s">
        <v>276</v>
      </c>
      <c r="B389" s="3">
        <v>45473</v>
      </c>
      <c r="C389" s="5"/>
    </row>
    <row r="390" spans="1:7">
      <c r="A390" s="5" t="s">
        <v>300</v>
      </c>
      <c r="B390" s="3">
        <v>45838</v>
      </c>
      <c r="C390" s="5"/>
    </row>
    <row r="391" spans="1:7">
      <c r="A391" s="5"/>
      <c r="B391" s="5"/>
      <c r="C391" s="5"/>
    </row>
    <row r="392" spans="1:7">
      <c r="A392" s="5"/>
      <c r="B392" s="5"/>
      <c r="C392" s="5"/>
    </row>
    <row r="393" spans="1:7">
      <c r="A393" s="5"/>
      <c r="B393" s="5"/>
      <c r="C393" s="5"/>
    </row>
    <row r="394" spans="1:7">
      <c r="A394" s="5"/>
      <c r="B394" s="5"/>
      <c r="C394" s="5"/>
    </row>
    <row r="395" spans="1:7">
      <c r="A395" s="9" t="s">
        <v>202</v>
      </c>
      <c r="B395" s="9"/>
      <c r="C395" s="9" t="s">
        <v>203</v>
      </c>
      <c r="D395" s="10" t="s">
        <v>204</v>
      </c>
      <c r="E395" s="10" t="s">
        <v>205</v>
      </c>
    </row>
    <row r="396" spans="1:7">
      <c r="A396" s="6" t="s">
        <v>271</v>
      </c>
      <c r="B396" s="6"/>
      <c r="C396" s="11">
        <f>'8'!$C$5</f>
        <v>3046098.51</v>
      </c>
      <c r="D396" s="11">
        <f>'8'!$E$5</f>
        <v>3046098.51</v>
      </c>
      <c r="E396" s="11">
        <f>D396-C396</f>
        <v>0</v>
      </c>
      <c r="G396" s="5"/>
    </row>
    <row r="397" spans="1:7">
      <c r="A397" s="6" t="s">
        <v>207</v>
      </c>
      <c r="B397" s="6"/>
      <c r="C397" s="11"/>
      <c r="D397" s="11"/>
      <c r="E397" s="11"/>
    </row>
    <row r="398" spans="1:7">
      <c r="A398" s="6" t="s">
        <v>208</v>
      </c>
      <c r="B398" s="6"/>
      <c r="C398" s="11"/>
      <c r="D398" s="11"/>
      <c r="E398" s="11"/>
    </row>
    <row r="399" spans="1:7">
      <c r="A399" s="6" t="s">
        <v>263</v>
      </c>
      <c r="B399" s="6"/>
      <c r="C399" s="11">
        <f>'8'!$C$24</f>
        <v>1715074.5899999999</v>
      </c>
      <c r="D399" s="11">
        <f>'8'!$E$24</f>
        <v>1715074.5899999999</v>
      </c>
      <c r="E399" s="11">
        <f t="shared" ref="E399:E406" si="58">C399-D399</f>
        <v>0</v>
      </c>
    </row>
    <row r="400" spans="1:7">
      <c r="A400" s="6" t="s">
        <v>264</v>
      </c>
      <c r="B400" s="6"/>
      <c r="C400" s="11">
        <f>'8'!$C$41</f>
        <v>1715074.5899999999</v>
      </c>
      <c r="D400" s="11">
        <f>'8'!$E$41</f>
        <v>915074.58999999985</v>
      </c>
      <c r="E400" s="11">
        <f t="shared" si="58"/>
        <v>800000</v>
      </c>
    </row>
    <row r="401" spans="1:157">
      <c r="A401" s="6" t="s">
        <v>265</v>
      </c>
      <c r="B401" s="6"/>
      <c r="C401" s="11"/>
      <c r="D401" s="11"/>
      <c r="E401" s="11"/>
    </row>
    <row r="402" spans="1:157">
      <c r="A402" s="6" t="s">
        <v>301</v>
      </c>
      <c r="B402" s="6"/>
      <c r="C402" s="11"/>
      <c r="D402" s="11"/>
      <c r="E402" s="11">
        <f t="shared" si="58"/>
        <v>0</v>
      </c>
    </row>
    <row r="403" spans="1:157">
      <c r="A403" s="6" t="s">
        <v>302</v>
      </c>
      <c r="B403" s="6"/>
      <c r="C403" s="11">
        <f>'8'!$C$36</f>
        <v>0</v>
      </c>
      <c r="D403" s="11">
        <f>'8'!$E$36</f>
        <v>800000</v>
      </c>
      <c r="E403" s="11">
        <f t="shared" si="58"/>
        <v>-800000</v>
      </c>
    </row>
    <row r="404" spans="1:157">
      <c r="A404" s="6" t="s">
        <v>211</v>
      </c>
      <c r="B404" s="6"/>
      <c r="C404" s="11">
        <f>'8'!$C$13+'8'!$C$19</f>
        <v>139243.09</v>
      </c>
      <c r="D404" s="11">
        <f>'8'!$D$13+'8'!$E$19</f>
        <v>139243.09</v>
      </c>
      <c r="E404" s="11">
        <f t="shared" si="58"/>
        <v>0</v>
      </c>
    </row>
    <row r="405" spans="1:157">
      <c r="A405" s="6" t="s">
        <v>212</v>
      </c>
      <c r="B405" s="6"/>
      <c r="C405" s="11">
        <f>'8'!$C$34+'8'!$C$35</f>
        <v>300821.67</v>
      </c>
      <c r="D405" s="11">
        <f>'8'!$D$34+'8'!$E$35</f>
        <v>303263.06999999995</v>
      </c>
      <c r="E405" s="11">
        <f t="shared" si="58"/>
        <v>-2441.3999999999651</v>
      </c>
    </row>
    <row r="406" spans="1:157">
      <c r="A406" s="6" t="s">
        <v>213</v>
      </c>
      <c r="B406" s="6"/>
      <c r="C406" s="11">
        <f>'8'!$C$46</f>
        <v>300000.09000000003</v>
      </c>
      <c r="D406" s="11">
        <f>'8'!$E$46</f>
        <v>304500.49</v>
      </c>
      <c r="E406" s="11">
        <f t="shared" si="58"/>
        <v>-4500.3999999999651</v>
      </c>
    </row>
    <row r="407" spans="1:157">
      <c r="A407" s="6" t="s">
        <v>253</v>
      </c>
      <c r="B407" s="6"/>
      <c r="C407" s="11">
        <f>C404</f>
        <v>139243.09</v>
      </c>
      <c r="D407" s="11">
        <f>D404</f>
        <v>139243.09</v>
      </c>
      <c r="E407" s="11">
        <f>D407-C407</f>
        <v>0</v>
      </c>
    </row>
    <row r="408" spans="1:157">
      <c r="A408" s="6" t="s">
        <v>254</v>
      </c>
      <c r="B408" s="6"/>
      <c r="C408" s="11">
        <f t="shared" ref="C408:D408" si="59">C405</f>
        <v>300821.67</v>
      </c>
      <c r="D408" s="11">
        <f t="shared" si="59"/>
        <v>303263.06999999995</v>
      </c>
      <c r="E408" s="11">
        <f>D408-C408</f>
        <v>2441.3999999999651</v>
      </c>
      <c r="EF408" s="5"/>
    </row>
    <row r="409" spans="1:157">
      <c r="A409" s="6" t="s">
        <v>215</v>
      </c>
      <c r="C409" s="11">
        <f t="shared" ref="C409:D409" si="60">C406</f>
        <v>300000.09000000003</v>
      </c>
      <c r="D409" s="11">
        <f t="shared" si="60"/>
        <v>304500.49</v>
      </c>
      <c r="E409" s="11">
        <f>D409-C409</f>
        <v>4500.3999999999651</v>
      </c>
    </row>
    <row r="411" spans="1:157" ht="28.9">
      <c r="A411" s="6" t="s">
        <v>304</v>
      </c>
      <c r="C411" s="6" t="s">
        <v>163</v>
      </c>
      <c r="D411" t="s">
        <v>219</v>
      </c>
      <c r="E411">
        <v>0</v>
      </c>
      <c r="F411">
        <v>7424</v>
      </c>
      <c r="G411" t="s">
        <v>220</v>
      </c>
      <c r="H411" t="s">
        <v>221</v>
      </c>
      <c r="I411" t="s">
        <v>222</v>
      </c>
      <c r="K411" t="s">
        <v>222</v>
      </c>
      <c r="O411" t="s">
        <v>168</v>
      </c>
      <c r="P411" t="s">
        <v>169</v>
      </c>
      <c r="Q411" t="s">
        <v>170</v>
      </c>
      <c r="R411" t="s">
        <v>222</v>
      </c>
      <c r="S411" t="s">
        <v>171</v>
      </c>
      <c r="U411" t="s">
        <v>222</v>
      </c>
      <c r="V411" t="s">
        <v>222</v>
      </c>
      <c r="W411" t="s">
        <v>172</v>
      </c>
      <c r="X411" t="s">
        <v>173</v>
      </c>
      <c r="Y411" t="s">
        <v>174</v>
      </c>
      <c r="Z411" t="s">
        <v>223</v>
      </c>
      <c r="AA411" t="s">
        <v>224</v>
      </c>
      <c r="AB411" t="s">
        <v>176</v>
      </c>
      <c r="AC411" t="s">
        <v>177</v>
      </c>
      <c r="AD411" t="s">
        <v>178</v>
      </c>
      <c r="AE411" t="s">
        <v>179</v>
      </c>
      <c r="AF411" s="3">
        <v>45580</v>
      </c>
      <c r="AG411" s="3">
        <v>41456</v>
      </c>
      <c r="AH411" s="3">
        <v>45473</v>
      </c>
      <c r="AK411" s="3">
        <f>'9'!$D$16</f>
        <v>45097</v>
      </c>
      <c r="AL411" s="14">
        <v>45838.958333333336</v>
      </c>
      <c r="AM411" s="3">
        <v>45473</v>
      </c>
      <c r="AN411" t="s">
        <v>180</v>
      </c>
      <c r="AP411" s="3">
        <v>45473</v>
      </c>
      <c r="AS411" t="s">
        <v>181</v>
      </c>
      <c r="AT411" t="s">
        <v>182</v>
      </c>
      <c r="AV411" t="s">
        <v>182</v>
      </c>
      <c r="AW411">
        <v>12164247</v>
      </c>
      <c r="AX411">
        <v>5378818.7800000003</v>
      </c>
      <c r="AY411">
        <v>0</v>
      </c>
      <c r="AZ411">
        <v>0</v>
      </c>
      <c r="BA411" t="s">
        <v>183</v>
      </c>
      <c r="BB411">
        <v>30</v>
      </c>
      <c r="BC411">
        <f>BB411*12</f>
        <v>360</v>
      </c>
      <c r="BD411">
        <v>10957.5</v>
      </c>
      <c r="BE411">
        <f t="shared" ref="BE411:BE412" si="61">BG411/365</f>
        <v>5.6410958904109592</v>
      </c>
      <c r="BF411">
        <f t="shared" ref="BF411:BF412" si="62">BE411*12</f>
        <v>67.69315068493151</v>
      </c>
      <c r="BG411" s="16">
        <f>'9'!$D$72</f>
        <v>2059</v>
      </c>
      <c r="BI411" t="s">
        <v>225</v>
      </c>
      <c r="BN411">
        <v>1</v>
      </c>
      <c r="BO411">
        <v>0</v>
      </c>
      <c r="BP411">
        <v>0</v>
      </c>
      <c r="BY411" t="s">
        <v>185</v>
      </c>
      <c r="BZ411" t="s">
        <v>186</v>
      </c>
      <c r="CA411" t="s">
        <v>187</v>
      </c>
      <c r="CB411" t="s">
        <v>188</v>
      </c>
      <c r="CC411" t="s">
        <v>189</v>
      </c>
      <c r="CD411" t="s">
        <v>190</v>
      </c>
      <c r="CE411" t="s">
        <v>181</v>
      </c>
      <c r="CF411" t="s">
        <v>192</v>
      </c>
      <c r="CG411" t="s">
        <v>193</v>
      </c>
      <c r="CH411" t="s">
        <v>194</v>
      </c>
      <c r="CI411" t="s">
        <v>195</v>
      </c>
      <c r="CJ411" t="s">
        <v>196</v>
      </c>
      <c r="CK411" t="s">
        <v>197</v>
      </c>
      <c r="CN411" t="s">
        <v>198</v>
      </c>
      <c r="CU411">
        <v>-32.208987610000001</v>
      </c>
      <c r="CV411">
        <v>27.7945338</v>
      </c>
      <c r="CW411">
        <v>1162063.57</v>
      </c>
      <c r="CX411">
        <v>0</v>
      </c>
      <c r="CZ411" s="5"/>
      <c r="DA411" s="3">
        <v>44742</v>
      </c>
      <c r="DB411" s="5">
        <v>5535753.9299999997</v>
      </c>
      <c r="DC411" s="5">
        <f>'9'!$D$8</f>
        <v>5660048.5999999996</v>
      </c>
      <c r="DD411" s="5">
        <f>'9'!$D$56</f>
        <v>2749362.1599999983</v>
      </c>
      <c r="DE411" s="5">
        <v>0</v>
      </c>
      <c r="DF411" s="5">
        <v>0</v>
      </c>
      <c r="DG411" s="5">
        <f>DD411+DE411</f>
        <v>2749362.1599999983</v>
      </c>
      <c r="DH411" s="5">
        <v>0</v>
      </c>
      <c r="DI411" s="5">
        <v>0</v>
      </c>
      <c r="DJ411" s="5">
        <v>0</v>
      </c>
      <c r="DK411" s="5">
        <f>DC411-DO411-DG411</f>
        <v>1873396.2800000012</v>
      </c>
      <c r="DL411" s="5">
        <v>0</v>
      </c>
      <c r="DM411" s="5">
        <f>'9'!$D$21+'9'!$D$27+'9'!$D$45+'9'!$D$48</f>
        <v>705192.23</v>
      </c>
      <c r="DN411" s="5">
        <f>'9'!$D$63</f>
        <v>332097.93</v>
      </c>
      <c r="DO411" s="5">
        <f>DM411+DN411</f>
        <v>1037290.1599999999</v>
      </c>
      <c r="DP411" s="5">
        <f>DK411</f>
        <v>1873396.2800000012</v>
      </c>
      <c r="DQ411" s="5" t="s">
        <v>187</v>
      </c>
      <c r="DR411" s="5">
        <f>'9'!$D$54</f>
        <v>12164247</v>
      </c>
      <c r="DS411" s="5">
        <f>'9'!$D$54</f>
        <v>12164247</v>
      </c>
      <c r="DT411" s="5">
        <v>0</v>
      </c>
      <c r="DU411" s="5">
        <v>1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12164247</v>
      </c>
      <c r="EE411" s="15">
        <f>'9'!$D$55</f>
        <v>6817741.8500000024</v>
      </c>
      <c r="EF411" s="15">
        <f>'9'!$D$55</f>
        <v>6817741.8500000024</v>
      </c>
      <c r="EG411" s="5">
        <f>'9'!$D$62</f>
        <v>391071.3</v>
      </c>
      <c r="EH411" s="5">
        <v>0</v>
      </c>
      <c r="EI411" s="5">
        <v>0</v>
      </c>
      <c r="EJ411" s="5">
        <v>0</v>
      </c>
      <c r="EK411" s="5">
        <f>EF411+EG411</f>
        <v>7208813.1500000022</v>
      </c>
      <c r="EL411" s="5">
        <f>'9'!$D$56</f>
        <v>2749362.1599999983</v>
      </c>
      <c r="EM411" s="5">
        <f>'9'!$D$56</f>
        <v>2749362.1599999983</v>
      </c>
      <c r="EN411" s="5">
        <v>0</v>
      </c>
      <c r="EO411" s="5">
        <v>0</v>
      </c>
      <c r="EP411" s="5">
        <v>0</v>
      </c>
      <c r="EQ411" s="5">
        <f>EM411+EN411</f>
        <v>2749362.1599999983</v>
      </c>
      <c r="ER411" s="5">
        <f>ED411-EK411-EQ411</f>
        <v>2206071.6899999995</v>
      </c>
      <c r="ES411" s="5">
        <v>0</v>
      </c>
      <c r="ET411" s="5">
        <v>0</v>
      </c>
      <c r="EZ411" t="s">
        <v>170</v>
      </c>
      <c r="FA411" t="s">
        <v>226</v>
      </c>
    </row>
    <row r="412" spans="1:157" ht="28.9">
      <c r="A412" s="6" t="s">
        <v>304</v>
      </c>
      <c r="C412" s="6" t="s">
        <v>200</v>
      </c>
      <c r="D412" t="s">
        <v>219</v>
      </c>
      <c r="E412">
        <v>0</v>
      </c>
      <c r="F412">
        <v>7424</v>
      </c>
      <c r="G412" t="s">
        <v>220</v>
      </c>
      <c r="H412" t="s">
        <v>221</v>
      </c>
      <c r="I412" t="s">
        <v>222</v>
      </c>
      <c r="K412" t="s">
        <v>222</v>
      </c>
      <c r="O412" t="s">
        <v>168</v>
      </c>
      <c r="P412" t="s">
        <v>169</v>
      </c>
      <c r="Q412" t="s">
        <v>170</v>
      </c>
      <c r="R412" t="s">
        <v>222</v>
      </c>
      <c r="S412" t="s">
        <v>171</v>
      </c>
      <c r="U412" t="s">
        <v>222</v>
      </c>
      <c r="V412" t="s">
        <v>222</v>
      </c>
      <c r="W412" t="s">
        <v>172</v>
      </c>
      <c r="X412" t="s">
        <v>173</v>
      </c>
      <c r="Y412" t="s">
        <v>174</v>
      </c>
      <c r="Z412" t="s">
        <v>223</v>
      </c>
      <c r="AA412" t="s">
        <v>224</v>
      </c>
      <c r="AB412" t="s">
        <v>176</v>
      </c>
      <c r="AC412" t="s">
        <v>177</v>
      </c>
      <c r="AD412" t="s">
        <v>178</v>
      </c>
      <c r="AE412" t="s">
        <v>179</v>
      </c>
      <c r="AF412" s="3">
        <v>45580</v>
      </c>
      <c r="AG412" s="3">
        <v>41456</v>
      </c>
      <c r="AH412" s="3">
        <v>45473</v>
      </c>
      <c r="AK412" s="3">
        <f>'9'!$E$16</f>
        <v>45097</v>
      </c>
      <c r="AL412" s="14">
        <v>45838.958333333336</v>
      </c>
      <c r="AM412" s="3">
        <v>45473</v>
      </c>
      <c r="AN412" t="s">
        <v>180</v>
      </c>
      <c r="AP412" s="3">
        <v>45473</v>
      </c>
      <c r="AS412" t="s">
        <v>181</v>
      </c>
      <c r="AT412" t="s">
        <v>182</v>
      </c>
      <c r="AV412" t="s">
        <v>182</v>
      </c>
      <c r="AW412">
        <v>12164247</v>
      </c>
      <c r="AX412">
        <v>5378818.7800000003</v>
      </c>
      <c r="AY412">
        <v>0</v>
      </c>
      <c r="AZ412">
        <v>0</v>
      </c>
      <c r="BA412" t="s">
        <v>183</v>
      </c>
      <c r="BB412">
        <v>30</v>
      </c>
      <c r="BC412">
        <f>BB412*12</f>
        <v>360</v>
      </c>
      <c r="BD412">
        <v>10957.5</v>
      </c>
      <c r="BE412">
        <f t="shared" si="61"/>
        <v>12.158904109589042</v>
      </c>
      <c r="BF412">
        <f t="shared" si="62"/>
        <v>145.90684931506848</v>
      </c>
      <c r="BG412" s="16">
        <f>'9'!$E$72</f>
        <v>4438</v>
      </c>
      <c r="BI412" t="s">
        <v>225</v>
      </c>
      <c r="BN412">
        <v>1</v>
      </c>
      <c r="BO412">
        <v>0</v>
      </c>
      <c r="BP412">
        <v>0</v>
      </c>
      <c r="BY412" t="s">
        <v>185</v>
      </c>
      <c r="BZ412" t="s">
        <v>186</v>
      </c>
      <c r="CA412" t="s">
        <v>187</v>
      </c>
      <c r="CB412" t="s">
        <v>188</v>
      </c>
      <c r="CC412" t="s">
        <v>189</v>
      </c>
      <c r="CD412" t="s">
        <v>190</v>
      </c>
      <c r="CE412" t="s">
        <v>181</v>
      </c>
      <c r="CF412" t="s">
        <v>192</v>
      </c>
      <c r="CG412" t="s">
        <v>193</v>
      </c>
      <c r="CH412" t="s">
        <v>194</v>
      </c>
      <c r="CI412" t="s">
        <v>195</v>
      </c>
      <c r="CJ412" t="s">
        <v>196</v>
      </c>
      <c r="CK412" t="s">
        <v>197</v>
      </c>
      <c r="CN412" t="s">
        <v>198</v>
      </c>
      <c r="CU412">
        <v>-32.208987610000001</v>
      </c>
      <c r="CV412">
        <v>27.7945338</v>
      </c>
      <c r="CW412">
        <v>1162063.57</v>
      </c>
      <c r="CX412">
        <v>0</v>
      </c>
      <c r="CZ412" s="5"/>
      <c r="DA412" s="3">
        <v>44742</v>
      </c>
      <c r="DB412" s="5">
        <v>5535753.9299999997</v>
      </c>
      <c r="DC412" s="5">
        <f>'9'!$E$8</f>
        <v>5660048.5999999996</v>
      </c>
      <c r="DD412" s="5">
        <f>'9'!$E$56</f>
        <v>6888.8499999991618</v>
      </c>
      <c r="DE412" s="5">
        <v>0</v>
      </c>
      <c r="DF412" s="5">
        <v>0</v>
      </c>
      <c r="DG412" s="5">
        <f>DD412+DE412</f>
        <v>6888.8499999991618</v>
      </c>
      <c r="DH412" s="5">
        <v>0</v>
      </c>
      <c r="DI412" s="5">
        <v>0</v>
      </c>
      <c r="DJ412" s="5">
        <v>0</v>
      </c>
      <c r="DK412" s="5">
        <f>DC412-DO412-DG412</f>
        <v>4550808.5</v>
      </c>
      <c r="DL412" s="5">
        <v>0</v>
      </c>
      <c r="DM412" s="5">
        <f>'9'!$E$21+'9'!$E$27+'9'!$E$45+'9'!$E$48</f>
        <v>728073.4</v>
      </c>
      <c r="DN412" s="5">
        <f>'9'!$E$63</f>
        <v>374277.85</v>
      </c>
      <c r="DO412" s="5">
        <f>DM412+DN412</f>
        <v>1102351.25</v>
      </c>
      <c r="DP412" s="5">
        <f>DK412</f>
        <v>4550808.5</v>
      </c>
      <c r="DQ412" s="5" t="s">
        <v>187</v>
      </c>
      <c r="DR412" s="5">
        <f>'9'!$E$54</f>
        <v>12164247</v>
      </c>
      <c r="DS412" s="5">
        <f>'9'!$E$54</f>
        <v>12164247</v>
      </c>
      <c r="DT412" s="5">
        <v>0</v>
      </c>
      <c r="DU412" s="5">
        <v>1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12164247</v>
      </c>
      <c r="EE412" s="15">
        <f>'9'!$E$55</f>
        <v>6825404.7200000025</v>
      </c>
      <c r="EF412" s="15">
        <f>'9'!$E$55</f>
        <v>6825404.7200000025</v>
      </c>
      <c r="EG412" s="5">
        <f>'9'!$E$62</f>
        <v>405197.3</v>
      </c>
      <c r="EH412" s="5">
        <v>0</v>
      </c>
      <c r="EI412" s="5">
        <v>0</v>
      </c>
      <c r="EJ412" s="5">
        <v>0</v>
      </c>
      <c r="EK412" s="5">
        <f>EF412+EG412</f>
        <v>7230602.0200000023</v>
      </c>
      <c r="EL412" s="5">
        <f>'9'!$E$56</f>
        <v>6888.8499999991618</v>
      </c>
      <c r="EM412" s="5">
        <f>'9'!$E$56</f>
        <v>6888.8499999991618</v>
      </c>
      <c r="EN412" s="5">
        <v>0</v>
      </c>
      <c r="EO412" s="5">
        <v>0</v>
      </c>
      <c r="EP412" s="5">
        <v>0</v>
      </c>
      <c r="EQ412" s="5">
        <f>EM412+EN412</f>
        <v>6888.8499999991618</v>
      </c>
      <c r="ER412" s="5">
        <f>ED412-EK412-EQ412</f>
        <v>4926756.129999999</v>
      </c>
      <c r="ES412" s="5">
        <v>0</v>
      </c>
      <c r="ET412" s="5">
        <v>0</v>
      </c>
      <c r="EZ412" t="s">
        <v>170</v>
      </c>
      <c r="FA412" t="s">
        <v>226</v>
      </c>
    </row>
    <row r="413" spans="1:157">
      <c r="D413" s="3"/>
    </row>
    <row r="414" spans="1:157">
      <c r="A414" s="6" t="s">
        <v>273</v>
      </c>
      <c r="B414" s="3">
        <v>44742</v>
      </c>
      <c r="C414" t="s">
        <v>274</v>
      </c>
      <c r="D414" s="3">
        <v>45473</v>
      </c>
    </row>
    <row r="415" spans="1:157">
      <c r="A415" s="6" t="s">
        <v>275</v>
      </c>
      <c r="B415" s="3">
        <v>45097</v>
      </c>
      <c r="C415" t="s">
        <v>276</v>
      </c>
      <c r="D415" s="3">
        <v>45838</v>
      </c>
    </row>
    <row r="416" spans="1:157" ht="15" thickBot="1">
      <c r="A416" s="6" t="s">
        <v>227</v>
      </c>
      <c r="B416" s="15">
        <v>-5660048.5999999996</v>
      </c>
      <c r="C416" s="3"/>
      <c r="D416" s="3"/>
      <c r="DC416" s="8">
        <f>DC411-DC412</f>
        <v>0</v>
      </c>
      <c r="DD416" s="8">
        <f t="shared" ref="DD416:DP416" si="63">DD411-DD412</f>
        <v>2742473.3099999991</v>
      </c>
      <c r="DE416" s="8">
        <f t="shared" si="63"/>
        <v>0</v>
      </c>
      <c r="DF416" s="8">
        <f t="shared" si="63"/>
        <v>0</v>
      </c>
      <c r="DG416" s="8">
        <f t="shared" si="63"/>
        <v>2742473.3099999991</v>
      </c>
      <c r="DH416" s="8">
        <f t="shared" si="63"/>
        <v>0</v>
      </c>
      <c r="DI416" s="8">
        <f t="shared" si="63"/>
        <v>0</v>
      </c>
      <c r="DJ416" s="8">
        <f t="shared" si="63"/>
        <v>0</v>
      </c>
      <c r="DK416" s="8">
        <f t="shared" si="63"/>
        <v>-2677412.2199999988</v>
      </c>
      <c r="DL416" s="8">
        <f t="shared" si="63"/>
        <v>0</v>
      </c>
      <c r="DM416" s="8">
        <f t="shared" si="63"/>
        <v>-22881.170000000042</v>
      </c>
      <c r="DN416" s="8">
        <f t="shared" si="63"/>
        <v>-42179.919999999984</v>
      </c>
      <c r="DO416" s="8">
        <f t="shared" si="63"/>
        <v>-65061.090000000084</v>
      </c>
      <c r="DP416" s="8">
        <f t="shared" si="63"/>
        <v>-2677412.2199999988</v>
      </c>
      <c r="DR416" s="8">
        <f t="shared" ref="DR416:ED416" si="64">DR411-DR412</f>
        <v>0</v>
      </c>
      <c r="DS416" s="8">
        <f t="shared" si="64"/>
        <v>0</v>
      </c>
      <c r="DT416" s="8">
        <f t="shared" si="64"/>
        <v>0</v>
      </c>
      <c r="DU416" s="8">
        <f t="shared" si="64"/>
        <v>0</v>
      </c>
      <c r="DV416" s="8">
        <f t="shared" si="64"/>
        <v>0</v>
      </c>
      <c r="DW416" s="8">
        <f t="shared" si="64"/>
        <v>0</v>
      </c>
      <c r="DX416" s="8">
        <f t="shared" si="64"/>
        <v>0</v>
      </c>
      <c r="DY416" s="8">
        <f t="shared" si="64"/>
        <v>0</v>
      </c>
      <c r="DZ416" s="8">
        <f t="shared" si="64"/>
        <v>0</v>
      </c>
      <c r="EA416" s="8">
        <f t="shared" si="64"/>
        <v>0</v>
      </c>
      <c r="EB416" s="8">
        <f t="shared" si="64"/>
        <v>0</v>
      </c>
      <c r="EC416" s="8">
        <f t="shared" si="64"/>
        <v>0</v>
      </c>
      <c r="ED416" s="8">
        <f t="shared" si="64"/>
        <v>0</v>
      </c>
      <c r="EF416" s="8">
        <f>EF411-EF412</f>
        <v>-7662.8700000001118</v>
      </c>
      <c r="EG416" s="8">
        <f>EG411-EG412</f>
        <v>-14126</v>
      </c>
      <c r="EK416" s="8">
        <f>EK411-EK412</f>
        <v>-21788.870000000112</v>
      </c>
      <c r="EL416" s="8">
        <f t="shared" ref="EL416:ER416" si="65">EL411-EL412</f>
        <v>2742473.3099999991</v>
      </c>
      <c r="EM416" s="8">
        <f t="shared" si="65"/>
        <v>2742473.3099999991</v>
      </c>
      <c r="EN416" s="8">
        <f t="shared" si="65"/>
        <v>0</v>
      </c>
      <c r="EO416" s="8">
        <f t="shared" si="65"/>
        <v>0</v>
      </c>
      <c r="EP416" s="8">
        <f t="shared" si="65"/>
        <v>0</v>
      </c>
      <c r="EQ416" s="8">
        <f t="shared" si="65"/>
        <v>2742473.3099999991</v>
      </c>
      <c r="ER416" s="8">
        <f t="shared" si="65"/>
        <v>-2720684.4399999995</v>
      </c>
    </row>
    <row r="417" spans="1:7" ht="15" thickTop="1">
      <c r="A417" s="6" t="s">
        <v>228</v>
      </c>
      <c r="B417" s="15">
        <v>12164247</v>
      </c>
      <c r="D417" s="3"/>
      <c r="E417" s="5"/>
      <c r="F417" s="5"/>
    </row>
    <row r="418" spans="1:7">
      <c r="A418" s="6" t="s">
        <v>229</v>
      </c>
      <c r="B418" s="15">
        <v>6020788.8300000019</v>
      </c>
      <c r="C418" s="15">
        <v>7500500</v>
      </c>
      <c r="D418" s="1">
        <f>ROUND(C418/B420*B419,2)</f>
        <v>14851233.960000001</v>
      </c>
      <c r="E418" s="5">
        <f>D418-C418</f>
        <v>7350733.9600000009</v>
      </c>
      <c r="F418" s="5">
        <f>C418-C419</f>
        <v>1357041.8300000019</v>
      </c>
    </row>
    <row r="419" spans="1:7">
      <c r="A419" s="6" t="s">
        <v>230</v>
      </c>
      <c r="B419" s="17">
        <v>10957.5</v>
      </c>
      <c r="C419" s="5">
        <f>B417-B418</f>
        <v>6143458.1699999981</v>
      </c>
      <c r="D419" s="5">
        <f>ROUND(C419/5534*10957.5,2)</f>
        <v>12164247</v>
      </c>
      <c r="E419" s="5">
        <f>D419-C419</f>
        <v>6020788.8300000019</v>
      </c>
      <c r="F419" s="5">
        <f>-B416+F418</f>
        <v>7017090.4300000016</v>
      </c>
    </row>
    <row r="420" spans="1:7">
      <c r="A420" s="6" t="s">
        <v>231</v>
      </c>
      <c r="B420" s="16">
        <v>5534</v>
      </c>
      <c r="C420" t="s">
        <v>277</v>
      </c>
      <c r="D420">
        <v>2192</v>
      </c>
      <c r="E420" s="5"/>
    </row>
    <row r="421" spans="1:7">
      <c r="A421" s="6" t="s">
        <v>232</v>
      </c>
      <c r="B421" s="5">
        <v>4318557.7399999984</v>
      </c>
      <c r="E421" s="5"/>
    </row>
    <row r="422" spans="1:7">
      <c r="A422" s="6" t="s">
        <v>233</v>
      </c>
      <c r="B422" s="5">
        <v>-3835148.1699999995</v>
      </c>
      <c r="E422" s="5"/>
    </row>
    <row r="423" spans="1:7">
      <c r="A423" s="6" t="s">
        <v>234</v>
      </c>
      <c r="B423" s="5">
        <f>C419-B421</f>
        <v>1824900.4299999997</v>
      </c>
      <c r="E423" s="5"/>
    </row>
    <row r="424" spans="1:7">
      <c r="A424" s="6" t="s">
        <v>235</v>
      </c>
      <c r="B424" s="5">
        <f>B416-B422</f>
        <v>-1824900.4300000002</v>
      </c>
      <c r="E424" s="5"/>
    </row>
    <row r="425" spans="1:7">
      <c r="B425" s="5"/>
      <c r="E425" s="5"/>
    </row>
    <row r="426" spans="1:7">
      <c r="A426" s="9" t="s">
        <v>202</v>
      </c>
      <c r="C426" s="9" t="s">
        <v>203</v>
      </c>
      <c r="D426" s="10" t="s">
        <v>204</v>
      </c>
      <c r="E426" s="10" t="s">
        <v>205</v>
      </c>
    </row>
    <row r="427" spans="1:7">
      <c r="A427" s="18" t="s">
        <v>305</v>
      </c>
      <c r="E427" s="5"/>
    </row>
    <row r="428" spans="1:7">
      <c r="A428" t="s">
        <v>237</v>
      </c>
      <c r="C428" s="11">
        <f>'9'!$D$8</f>
        <v>5660048.5999999996</v>
      </c>
      <c r="D428" s="11">
        <f>'9'!$E$8</f>
        <v>5660048.5999999996</v>
      </c>
      <c r="E428" s="11">
        <f>D428-C428</f>
        <v>0</v>
      </c>
      <c r="G428" s="5"/>
    </row>
    <row r="429" spans="1:7">
      <c r="A429" t="s">
        <v>238</v>
      </c>
      <c r="C429" s="11">
        <f>'9'!$D$5</f>
        <v>12164247</v>
      </c>
      <c r="D429" s="11">
        <f>'9'!$E$5</f>
        <v>12164247</v>
      </c>
      <c r="E429" s="11">
        <f>C429-D429</f>
        <v>0</v>
      </c>
      <c r="G429" s="5"/>
    </row>
    <row r="430" spans="1:7">
      <c r="A430" t="s">
        <v>229</v>
      </c>
      <c r="C430" s="11">
        <f>'9'!$D$6</f>
        <v>6020788.8300000019</v>
      </c>
      <c r="D430" s="11">
        <f>'9'!$E$6</f>
        <v>6020788.8300000019</v>
      </c>
      <c r="E430" s="11">
        <f>D430-C430</f>
        <v>0</v>
      </c>
      <c r="G430" s="5"/>
    </row>
    <row r="431" spans="1:7" ht="15" thickBot="1">
      <c r="C431" s="11"/>
      <c r="D431" s="11"/>
      <c r="E431" s="32">
        <f>SUM(E428:E430)</f>
        <v>0</v>
      </c>
    </row>
    <row r="432" spans="1:7" ht="15" thickTop="1">
      <c r="A432" t="s">
        <v>279</v>
      </c>
      <c r="C432" s="11">
        <f>'9'!$D$21+'9'!$D$27</f>
        <v>372184.45</v>
      </c>
      <c r="D432" s="11">
        <f>'9'!$E$21+'9'!$E$27</f>
        <v>372184.45</v>
      </c>
      <c r="E432" s="11">
        <f>D432-C432</f>
        <v>0</v>
      </c>
    </row>
    <row r="433" spans="1:5">
      <c r="A433" t="s">
        <v>280</v>
      </c>
      <c r="C433" s="11">
        <f>'9'!$D$48+'9'!$D$45</f>
        <v>333007.78000000003</v>
      </c>
      <c r="D433" s="11">
        <f>'9'!$E$48+'9'!$E$45</f>
        <v>355888.95</v>
      </c>
      <c r="E433" s="11">
        <f>D433-C433</f>
        <v>22881.169999999984</v>
      </c>
    </row>
    <row r="434" spans="1:5">
      <c r="A434" t="s">
        <v>281</v>
      </c>
      <c r="C434" s="11">
        <f>'9'!$D$63</f>
        <v>332097.93</v>
      </c>
      <c r="D434" s="11">
        <f>'9'!$E$63</f>
        <v>374277.85</v>
      </c>
      <c r="E434" s="11">
        <f t="shared" ref="E434" si="66">D434-C434</f>
        <v>42179.919999999984</v>
      </c>
    </row>
    <row r="435" spans="1:5">
      <c r="A435" t="s">
        <v>286</v>
      </c>
      <c r="C435" s="11">
        <f>'9'!$D$24</f>
        <v>2749362.1599999983</v>
      </c>
      <c r="D435" s="11">
        <f>'9'!$E$24</f>
        <v>2749362.1599999983</v>
      </c>
      <c r="E435" s="11">
        <f t="shared" ref="E435:E441" si="67">C435-D435</f>
        <v>0</v>
      </c>
    </row>
    <row r="436" spans="1:5">
      <c r="A436" t="s">
        <v>306</v>
      </c>
      <c r="C436" s="11">
        <f>'9'!$D$50</f>
        <v>0</v>
      </c>
      <c r="D436" s="11">
        <f>'9'!$E$50</f>
        <v>2742473.3099999991</v>
      </c>
      <c r="E436" s="11">
        <f t="shared" si="67"/>
        <v>-2742473.3099999991</v>
      </c>
    </row>
    <row r="437" spans="1:5">
      <c r="A437" t="s">
        <v>307</v>
      </c>
      <c r="C437" s="11"/>
      <c r="D437" s="11"/>
      <c r="E437" s="11"/>
    </row>
    <row r="438" spans="1:5">
      <c r="A438" t="s">
        <v>242</v>
      </c>
      <c r="C438" s="11">
        <f>'9'!$D$20+'9'!$D$26</f>
        <v>404810.29000000004</v>
      </c>
      <c r="D438" s="11">
        <f>'9'!$E$20+'9'!$E$26</f>
        <v>404810.29000000004</v>
      </c>
      <c r="E438" s="11">
        <f t="shared" si="67"/>
        <v>0</v>
      </c>
    </row>
    <row r="439" spans="1:5">
      <c r="A439" t="s">
        <v>243</v>
      </c>
      <c r="C439" s="11">
        <f>'9'!$D$44+'9'!$D$47</f>
        <v>392142.73</v>
      </c>
      <c r="D439" s="11">
        <f>'9'!$E$44+'9'!$E$47</f>
        <v>399805.6</v>
      </c>
      <c r="E439" s="11">
        <f t="shared" si="67"/>
        <v>-7662.8699999999953</v>
      </c>
    </row>
    <row r="440" spans="1:5">
      <c r="A440" t="s">
        <v>244</v>
      </c>
      <c r="C440" s="11">
        <f>'9'!$D$62</f>
        <v>391071.3</v>
      </c>
      <c r="D440" s="11">
        <f>'9'!$E$62</f>
        <v>405197.3</v>
      </c>
      <c r="E440" s="11">
        <f t="shared" si="67"/>
        <v>-14126</v>
      </c>
    </row>
    <row r="441" spans="1:5">
      <c r="A441" t="s">
        <v>286</v>
      </c>
      <c r="C441" s="11">
        <f>'9'!$D$24</f>
        <v>2749362.1599999983</v>
      </c>
      <c r="D441" s="11">
        <f>'9'!$E$24</f>
        <v>2749362.1599999983</v>
      </c>
      <c r="E441" s="11">
        <f t="shared" si="67"/>
        <v>0</v>
      </c>
    </row>
    <row r="442" spans="1:5">
      <c r="A442" t="s">
        <v>308</v>
      </c>
      <c r="C442" s="11">
        <f>'9'!$D$50</f>
        <v>0</v>
      </c>
      <c r="D442" s="11">
        <f>'9'!$E$50</f>
        <v>2742473.3099999991</v>
      </c>
      <c r="E442" s="11">
        <f>D442-C442</f>
        <v>2742473.3099999991</v>
      </c>
    </row>
    <row r="443" spans="1:5">
      <c r="A443" t="s">
        <v>309</v>
      </c>
      <c r="C443" s="11"/>
      <c r="D443" s="11"/>
      <c r="E443" s="11"/>
    </row>
    <row r="444" spans="1:5">
      <c r="A444" t="s">
        <v>310</v>
      </c>
      <c r="C444" s="11"/>
      <c r="D444" s="11"/>
      <c r="E444" s="11">
        <f>-E433</f>
        <v>-22881.169999999984</v>
      </c>
    </row>
    <row r="445" spans="1:5">
      <c r="A445" t="s">
        <v>289</v>
      </c>
      <c r="C445" s="11"/>
      <c r="D445" s="11"/>
      <c r="E445" s="11">
        <f>-E434</f>
        <v>-42179.919999999984</v>
      </c>
    </row>
    <row r="446" spans="1:5">
      <c r="A446" t="s">
        <v>290</v>
      </c>
      <c r="C446" s="11"/>
      <c r="D446" s="11"/>
      <c r="E446" s="11">
        <f>-E435</f>
        <v>0</v>
      </c>
    </row>
    <row r="447" spans="1:5">
      <c r="A447" t="s">
        <v>311</v>
      </c>
      <c r="C447" s="11"/>
      <c r="D447" s="11"/>
      <c r="E447" s="11">
        <f>-E438</f>
        <v>0</v>
      </c>
    </row>
    <row r="448" spans="1:5">
      <c r="A448" t="s">
        <v>291</v>
      </c>
      <c r="C448" s="11"/>
      <c r="D448" s="11"/>
      <c r="E448" s="11">
        <f>-E439</f>
        <v>7662.8699999999953</v>
      </c>
    </row>
    <row r="449" spans="1:157">
      <c r="A449" t="s">
        <v>292</v>
      </c>
      <c r="C449" s="11"/>
      <c r="D449" s="11"/>
      <c r="E449" s="11">
        <f>-E440</f>
        <v>14126</v>
      </c>
    </row>
    <row r="451" spans="1:157" ht="28.9">
      <c r="A451" s="6" t="s">
        <v>312</v>
      </c>
      <c r="C451" s="6" t="s">
        <v>163</v>
      </c>
      <c r="D451" t="s">
        <v>219</v>
      </c>
      <c r="E451">
        <v>0</v>
      </c>
      <c r="F451">
        <v>7424</v>
      </c>
      <c r="G451" t="s">
        <v>220</v>
      </c>
      <c r="H451" t="s">
        <v>221</v>
      </c>
      <c r="I451" t="s">
        <v>222</v>
      </c>
      <c r="K451" t="s">
        <v>222</v>
      </c>
      <c r="O451" t="s">
        <v>168</v>
      </c>
      <c r="P451" t="s">
        <v>169</v>
      </c>
      <c r="Q451" t="s">
        <v>170</v>
      </c>
      <c r="R451" t="s">
        <v>222</v>
      </c>
      <c r="S451" t="s">
        <v>171</v>
      </c>
      <c r="U451" t="s">
        <v>222</v>
      </c>
      <c r="V451" t="s">
        <v>222</v>
      </c>
      <c r="W451" t="s">
        <v>172</v>
      </c>
      <c r="X451" t="s">
        <v>173</v>
      </c>
      <c r="Y451" t="s">
        <v>174</v>
      </c>
      <c r="Z451" t="s">
        <v>223</v>
      </c>
      <c r="AA451" t="s">
        <v>224</v>
      </c>
      <c r="AB451" t="s">
        <v>176</v>
      </c>
      <c r="AC451" t="s">
        <v>177</v>
      </c>
      <c r="AD451" t="s">
        <v>178</v>
      </c>
      <c r="AE451" t="s">
        <v>179</v>
      </c>
      <c r="AF451" s="3">
        <v>45580</v>
      </c>
      <c r="AG451" s="3">
        <v>41456</v>
      </c>
      <c r="AH451" s="3">
        <v>45473</v>
      </c>
      <c r="AK451" s="3">
        <f>'9'!$D$16</f>
        <v>45097</v>
      </c>
      <c r="AL451" s="14">
        <v>45838.958333333336</v>
      </c>
      <c r="AM451" s="3">
        <v>45473</v>
      </c>
      <c r="AN451" t="s">
        <v>180</v>
      </c>
      <c r="AP451" s="3">
        <v>45473</v>
      </c>
      <c r="AS451" t="s">
        <v>181</v>
      </c>
      <c r="AT451" t="s">
        <v>182</v>
      </c>
      <c r="AV451" t="s">
        <v>182</v>
      </c>
      <c r="AW451">
        <v>12164247</v>
      </c>
      <c r="AX451">
        <v>5378818.7800000003</v>
      </c>
      <c r="AY451">
        <v>0</v>
      </c>
      <c r="AZ451">
        <v>0</v>
      </c>
      <c r="BA451" t="s">
        <v>183</v>
      </c>
      <c r="BB451">
        <v>30</v>
      </c>
      <c r="BC451">
        <f>BB451*12</f>
        <v>360</v>
      </c>
      <c r="BD451">
        <v>10957.5</v>
      </c>
      <c r="BE451">
        <f t="shared" ref="BE451:BE452" si="68">BG451/365</f>
        <v>5.6410958904109592</v>
      </c>
      <c r="BF451">
        <f t="shared" ref="BF451:BF452" si="69">BE451*12</f>
        <v>67.69315068493151</v>
      </c>
      <c r="BG451" s="16">
        <f>'9'!$D$72</f>
        <v>2059</v>
      </c>
      <c r="BI451" t="s">
        <v>225</v>
      </c>
      <c r="BN451">
        <v>1</v>
      </c>
      <c r="BO451">
        <v>0</v>
      </c>
      <c r="BP451">
        <v>0</v>
      </c>
      <c r="BY451" t="s">
        <v>185</v>
      </c>
      <c r="BZ451" t="s">
        <v>186</v>
      </c>
      <c r="CA451" t="s">
        <v>187</v>
      </c>
      <c r="CB451" t="s">
        <v>188</v>
      </c>
      <c r="CC451" t="s">
        <v>189</v>
      </c>
      <c r="CD451" t="s">
        <v>190</v>
      </c>
      <c r="CE451" t="s">
        <v>181</v>
      </c>
      <c r="CF451" t="s">
        <v>192</v>
      </c>
      <c r="CG451" t="s">
        <v>193</v>
      </c>
      <c r="CH451" t="s">
        <v>194</v>
      </c>
      <c r="CI451" t="s">
        <v>195</v>
      </c>
      <c r="CJ451" t="s">
        <v>196</v>
      </c>
      <c r="CK451" t="s">
        <v>197</v>
      </c>
      <c r="CN451" t="s">
        <v>198</v>
      </c>
      <c r="CU451">
        <v>-32.208987610000001</v>
      </c>
      <c r="CV451">
        <v>27.7945338</v>
      </c>
      <c r="CW451">
        <v>1162063.57</v>
      </c>
      <c r="CX451">
        <v>0</v>
      </c>
      <c r="CZ451" s="5"/>
      <c r="DA451" s="3">
        <v>44742</v>
      </c>
      <c r="DB451" s="5">
        <v>5535753.9299999997</v>
      </c>
      <c r="DC451" s="5">
        <f>'9'!$D$8</f>
        <v>5660048.5999999996</v>
      </c>
      <c r="DD451" s="5">
        <f>'9'!$D$56</f>
        <v>2749362.1599999983</v>
      </c>
      <c r="DE451" s="5">
        <v>0</v>
      </c>
      <c r="DF451" s="5">
        <v>0</v>
      </c>
      <c r="DG451" s="5">
        <f>DD451+DE451</f>
        <v>2749362.1599999983</v>
      </c>
      <c r="DH451" s="5">
        <v>0</v>
      </c>
      <c r="DI451" s="5">
        <v>0</v>
      </c>
      <c r="DJ451" s="5">
        <v>0</v>
      </c>
      <c r="DK451" s="5">
        <f>DC451-DO451-DG451</f>
        <v>1873396.2800000012</v>
      </c>
      <c r="DL451" s="5">
        <v>0</v>
      </c>
      <c r="DM451" s="5">
        <f>'9'!$D$21+'9'!$D$27+'9'!$D$45+'9'!$D$48</f>
        <v>705192.23</v>
      </c>
      <c r="DN451" s="5">
        <f>'9'!$D$63</f>
        <v>332097.93</v>
      </c>
      <c r="DO451" s="5">
        <f>DM451+DN451</f>
        <v>1037290.1599999999</v>
      </c>
      <c r="DP451" s="5">
        <f>DK451</f>
        <v>1873396.2800000012</v>
      </c>
      <c r="DQ451" s="5" t="s">
        <v>187</v>
      </c>
      <c r="DR451" s="5">
        <f>'9'!$D$54</f>
        <v>12164247</v>
      </c>
      <c r="DS451" s="5">
        <f>'9'!$D$54</f>
        <v>12164247</v>
      </c>
      <c r="DT451" s="5">
        <v>0</v>
      </c>
      <c r="DU451" s="5">
        <v>1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12164247</v>
      </c>
      <c r="EE451" s="15">
        <f>'9'!$D$55</f>
        <v>6817741.8500000024</v>
      </c>
      <c r="EF451" s="15">
        <f>'9'!$D$55</f>
        <v>6817741.8500000024</v>
      </c>
      <c r="EG451" s="5">
        <f>'9'!$D$62</f>
        <v>391071.3</v>
      </c>
      <c r="EH451" s="5">
        <v>0</v>
      </c>
      <c r="EI451" s="5">
        <v>0</v>
      </c>
      <c r="EJ451" s="5">
        <v>0</v>
      </c>
      <c r="EK451" s="5">
        <f>EF451+EG451</f>
        <v>7208813.1500000022</v>
      </c>
      <c r="EL451" s="5">
        <f>'9'!$D$56</f>
        <v>2749362.1599999983</v>
      </c>
      <c r="EM451" s="5">
        <f>'9'!$D$56</f>
        <v>2749362.1599999983</v>
      </c>
      <c r="EN451" s="5">
        <v>0</v>
      </c>
      <c r="EO451" s="5">
        <v>0</v>
      </c>
      <c r="EP451" s="5">
        <v>0</v>
      </c>
      <c r="EQ451" s="5">
        <f>EM451+EN451</f>
        <v>2749362.1599999983</v>
      </c>
      <c r="ER451" s="5">
        <f>ED451-EK451-EQ451</f>
        <v>2206071.6899999995</v>
      </c>
      <c r="ES451" s="5">
        <v>0</v>
      </c>
      <c r="ET451" s="5">
        <v>0</v>
      </c>
      <c r="EZ451" t="s">
        <v>170</v>
      </c>
      <c r="FA451" t="s">
        <v>226</v>
      </c>
    </row>
    <row r="452" spans="1:157" ht="28.9">
      <c r="A452" s="6" t="s">
        <v>312</v>
      </c>
      <c r="C452" s="6" t="s">
        <v>200</v>
      </c>
      <c r="D452" t="s">
        <v>219</v>
      </c>
      <c r="E452">
        <v>0</v>
      </c>
      <c r="F452">
        <v>7424</v>
      </c>
      <c r="G452" t="s">
        <v>220</v>
      </c>
      <c r="H452" t="s">
        <v>221</v>
      </c>
      <c r="I452" t="s">
        <v>222</v>
      </c>
      <c r="K452" t="s">
        <v>222</v>
      </c>
      <c r="O452" t="s">
        <v>168</v>
      </c>
      <c r="P452" t="s">
        <v>169</v>
      </c>
      <c r="Q452" t="s">
        <v>170</v>
      </c>
      <c r="R452" t="s">
        <v>222</v>
      </c>
      <c r="S452" t="s">
        <v>171</v>
      </c>
      <c r="U452" t="s">
        <v>222</v>
      </c>
      <c r="V452" t="s">
        <v>222</v>
      </c>
      <c r="W452" t="s">
        <v>172</v>
      </c>
      <c r="X452" t="s">
        <v>173</v>
      </c>
      <c r="Y452" t="s">
        <v>174</v>
      </c>
      <c r="Z452" t="s">
        <v>223</v>
      </c>
      <c r="AA452" t="s">
        <v>224</v>
      </c>
      <c r="AB452" t="s">
        <v>176</v>
      </c>
      <c r="AC452" t="s">
        <v>177</v>
      </c>
      <c r="AD452" t="s">
        <v>178</v>
      </c>
      <c r="AE452" t="s">
        <v>179</v>
      </c>
      <c r="AF452" s="3">
        <v>45580</v>
      </c>
      <c r="AG452" s="3">
        <v>41456</v>
      </c>
      <c r="AH452" s="3">
        <v>45473</v>
      </c>
      <c r="AK452" s="3">
        <f>'9'!$F$16</f>
        <v>45097</v>
      </c>
      <c r="AL452" s="14">
        <v>45838.958333333336</v>
      </c>
      <c r="AM452" s="3">
        <v>45473</v>
      </c>
      <c r="AN452" t="s">
        <v>180</v>
      </c>
      <c r="AP452" s="3">
        <v>45473</v>
      </c>
      <c r="AS452" t="s">
        <v>181</v>
      </c>
      <c r="AT452" t="s">
        <v>182</v>
      </c>
      <c r="AV452" t="s">
        <v>182</v>
      </c>
      <c r="AW452">
        <v>12164247</v>
      </c>
      <c r="AX452">
        <v>5378818.7800000003</v>
      </c>
      <c r="AY452">
        <v>0</v>
      </c>
      <c r="AZ452">
        <v>0</v>
      </c>
      <c r="BA452" t="s">
        <v>183</v>
      </c>
      <c r="BB452">
        <v>30</v>
      </c>
      <c r="BC452">
        <f>BB452*12</f>
        <v>360</v>
      </c>
      <c r="BD452">
        <v>10957.5</v>
      </c>
      <c r="BE452">
        <f t="shared" si="68"/>
        <v>8.4356164383561651</v>
      </c>
      <c r="BF452">
        <f t="shared" si="69"/>
        <v>101.22739726027399</v>
      </c>
      <c r="BG452" s="16">
        <f>'9'!$F$72</f>
        <v>3079</v>
      </c>
      <c r="BI452" t="s">
        <v>225</v>
      </c>
      <c r="BN452">
        <v>1</v>
      </c>
      <c r="BO452">
        <v>0</v>
      </c>
      <c r="BP452">
        <v>0</v>
      </c>
      <c r="BY452" t="s">
        <v>185</v>
      </c>
      <c r="BZ452" t="s">
        <v>186</v>
      </c>
      <c r="CA452" t="s">
        <v>187</v>
      </c>
      <c r="CB452" t="s">
        <v>188</v>
      </c>
      <c r="CC452" t="s">
        <v>189</v>
      </c>
      <c r="CD452" t="s">
        <v>190</v>
      </c>
      <c r="CE452" t="s">
        <v>181</v>
      </c>
      <c r="CF452" t="s">
        <v>192</v>
      </c>
      <c r="CG452" t="s">
        <v>193</v>
      </c>
      <c r="CH452" t="s">
        <v>194</v>
      </c>
      <c r="CI452" t="s">
        <v>195</v>
      </c>
      <c r="CJ452" t="s">
        <v>196</v>
      </c>
      <c r="CK452" t="s">
        <v>197</v>
      </c>
      <c r="CN452" t="s">
        <v>198</v>
      </c>
      <c r="CU452">
        <v>-32.208987610000001</v>
      </c>
      <c r="CV452">
        <v>27.7945338</v>
      </c>
      <c r="CW452">
        <v>1162063.57</v>
      </c>
      <c r="CX452">
        <v>0</v>
      </c>
      <c r="CZ452" s="5"/>
      <c r="DA452" s="3">
        <v>44742</v>
      </c>
      <c r="DB452" s="5">
        <v>5535753.9299999997</v>
      </c>
      <c r="DC452" s="5">
        <f>'9'!$F$8</f>
        <v>5660048.5999999996</v>
      </c>
      <c r="DD452" s="5">
        <f>'9'!$F$56</f>
        <v>1349362.1599999983</v>
      </c>
      <c r="DE452" s="5">
        <v>0</v>
      </c>
      <c r="DF452" s="5">
        <v>0</v>
      </c>
      <c r="DG452" s="5">
        <f>DD452+DE452</f>
        <v>1349362.1599999983</v>
      </c>
      <c r="DH452" s="5">
        <v>0</v>
      </c>
      <c r="DI452" s="5">
        <v>0</v>
      </c>
      <c r="DJ452" s="5">
        <v>0</v>
      </c>
      <c r="DK452" s="5">
        <f>DC452-DO452-DG452</f>
        <v>3200440.3900000015</v>
      </c>
      <c r="DL452" s="5">
        <v>0</v>
      </c>
      <c r="DM452" s="5">
        <f>'9'!$F$21+'9'!$F$27+'9'!$F$45+'9'!$F$48</f>
        <v>730849.9</v>
      </c>
      <c r="DN452" s="5">
        <f>'9'!$F$63</f>
        <v>379396.15</v>
      </c>
      <c r="DO452" s="5">
        <f>DM452+DN452</f>
        <v>1110246.05</v>
      </c>
      <c r="DP452" s="5">
        <f>DK452</f>
        <v>3200440.3900000015</v>
      </c>
      <c r="DQ452" s="5" t="s">
        <v>187</v>
      </c>
      <c r="DR452" s="5">
        <f>'9'!$F$54</f>
        <v>12164247</v>
      </c>
      <c r="DS452" s="5">
        <f>'9'!$F$54</f>
        <v>12164247</v>
      </c>
      <c r="DT452" s="5">
        <v>0</v>
      </c>
      <c r="DU452" s="5">
        <v>1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12164247</v>
      </c>
      <c r="EE452" s="15">
        <f>'9'!$F$55</f>
        <v>6834439.910000002</v>
      </c>
      <c r="EF452" s="15">
        <f>'9'!$F$55</f>
        <v>6834439.910000002</v>
      </c>
      <c r="EG452" s="5">
        <f>'9'!$F$62</f>
        <v>421853.09</v>
      </c>
      <c r="EH452" s="5">
        <v>0</v>
      </c>
      <c r="EI452" s="5">
        <v>0</v>
      </c>
      <c r="EJ452" s="5">
        <v>0</v>
      </c>
      <c r="EK452" s="5">
        <f>EF452+EG452</f>
        <v>7256293.0000000019</v>
      </c>
      <c r="EL452" s="5">
        <f>'9'!$F$56</f>
        <v>1349362.1599999983</v>
      </c>
      <c r="EM452" s="5">
        <f>'9'!$F$56</f>
        <v>1349362.1599999983</v>
      </c>
      <c r="EN452" s="5">
        <v>0</v>
      </c>
      <c r="EO452" s="5">
        <v>0</v>
      </c>
      <c r="EP452" s="5">
        <v>0</v>
      </c>
      <c r="EQ452" s="5">
        <f>EM452+EN452</f>
        <v>1349362.1599999983</v>
      </c>
      <c r="ER452" s="5">
        <f>ED452-EK452-EQ452</f>
        <v>3558591.84</v>
      </c>
      <c r="ES452" s="5">
        <v>0</v>
      </c>
      <c r="ET452" s="5">
        <v>0</v>
      </c>
      <c r="EZ452" t="s">
        <v>170</v>
      </c>
      <c r="FA452" t="s">
        <v>226</v>
      </c>
    </row>
    <row r="453" spans="1:157">
      <c r="D453" s="3"/>
    </row>
    <row r="454" spans="1:157">
      <c r="A454" s="6" t="s">
        <v>273</v>
      </c>
      <c r="B454" s="3">
        <v>45107</v>
      </c>
      <c r="C454" t="s">
        <v>274</v>
      </c>
      <c r="D454" s="3">
        <v>45473</v>
      </c>
    </row>
    <row r="455" spans="1:157">
      <c r="A455" s="6" t="s">
        <v>275</v>
      </c>
      <c r="B455" s="3">
        <v>45463</v>
      </c>
      <c r="C455" t="s">
        <v>276</v>
      </c>
      <c r="D455" s="3">
        <v>45838</v>
      </c>
    </row>
    <row r="456" spans="1:157" ht="15" thickBot="1">
      <c r="A456" s="6" t="s">
        <v>227</v>
      </c>
      <c r="B456" s="15">
        <v>-5660048.5999999996</v>
      </c>
      <c r="C456" s="3"/>
      <c r="D456" s="3"/>
      <c r="DC456" s="8">
        <f>DC451-DC452</f>
        <v>0</v>
      </c>
      <c r="DD456" s="8">
        <f t="shared" ref="DD456:DP456" si="70">DD451-DD452</f>
        <v>1400000</v>
      </c>
      <c r="DE456" s="8">
        <f t="shared" si="70"/>
        <v>0</v>
      </c>
      <c r="DF456" s="8">
        <f t="shared" si="70"/>
        <v>0</v>
      </c>
      <c r="DG456" s="8">
        <f t="shared" si="70"/>
        <v>1400000</v>
      </c>
      <c r="DH456" s="8">
        <f t="shared" si="70"/>
        <v>0</v>
      </c>
      <c r="DI456" s="8">
        <f t="shared" si="70"/>
        <v>0</v>
      </c>
      <c r="DJ456" s="8">
        <f t="shared" si="70"/>
        <v>0</v>
      </c>
      <c r="DK456" s="8">
        <f t="shared" si="70"/>
        <v>-1327044.1100000003</v>
      </c>
      <c r="DL456" s="8">
        <f t="shared" si="70"/>
        <v>0</v>
      </c>
      <c r="DM456" s="8">
        <f t="shared" si="70"/>
        <v>-25657.670000000042</v>
      </c>
      <c r="DN456" s="8">
        <f t="shared" si="70"/>
        <v>-47298.22000000003</v>
      </c>
      <c r="DO456" s="8">
        <f t="shared" si="70"/>
        <v>-72955.89000000013</v>
      </c>
      <c r="DP456" s="8">
        <f t="shared" si="70"/>
        <v>-1327044.1100000003</v>
      </c>
      <c r="DR456" s="8">
        <f t="shared" ref="DR456:ED456" si="71">DR451-DR452</f>
        <v>0</v>
      </c>
      <c r="DS456" s="8">
        <f t="shared" si="71"/>
        <v>0</v>
      </c>
      <c r="DT456" s="8">
        <f t="shared" si="71"/>
        <v>0</v>
      </c>
      <c r="DU456" s="8">
        <f t="shared" si="71"/>
        <v>0</v>
      </c>
      <c r="DV456" s="8">
        <f t="shared" si="71"/>
        <v>0</v>
      </c>
      <c r="DW456" s="8">
        <f t="shared" si="71"/>
        <v>0</v>
      </c>
      <c r="DX456" s="8">
        <f t="shared" si="71"/>
        <v>0</v>
      </c>
      <c r="DY456" s="8">
        <f t="shared" si="71"/>
        <v>0</v>
      </c>
      <c r="DZ456" s="8">
        <f t="shared" si="71"/>
        <v>0</v>
      </c>
      <c r="EA456" s="8">
        <f t="shared" si="71"/>
        <v>0</v>
      </c>
      <c r="EB456" s="8">
        <f t="shared" si="71"/>
        <v>0</v>
      </c>
      <c r="EC456" s="8">
        <f t="shared" si="71"/>
        <v>0</v>
      </c>
      <c r="ED456" s="8">
        <f t="shared" si="71"/>
        <v>0</v>
      </c>
      <c r="EF456" s="8">
        <f>EF451-EF452</f>
        <v>-16698.05999999959</v>
      </c>
      <c r="EG456" s="8">
        <f>EG451-EG452</f>
        <v>-30781.790000000037</v>
      </c>
      <c r="EK456" s="8">
        <f>EK451-EK452</f>
        <v>-47479.849999999627</v>
      </c>
      <c r="EL456" s="8">
        <f t="shared" ref="EL456:ER456" si="72">EL451-EL452</f>
        <v>1400000</v>
      </c>
      <c r="EM456" s="8">
        <f t="shared" si="72"/>
        <v>1400000</v>
      </c>
      <c r="EN456" s="8">
        <f t="shared" si="72"/>
        <v>0</v>
      </c>
      <c r="EO456" s="8">
        <f t="shared" si="72"/>
        <v>0</v>
      </c>
      <c r="EP456" s="8">
        <f t="shared" si="72"/>
        <v>0</v>
      </c>
      <c r="EQ456" s="8">
        <f t="shared" si="72"/>
        <v>1400000</v>
      </c>
      <c r="ER456" s="8">
        <f t="shared" si="72"/>
        <v>-1352520.1500000004</v>
      </c>
    </row>
    <row r="457" spans="1:157" ht="15" thickTop="1">
      <c r="A457" s="6" t="s">
        <v>228</v>
      </c>
      <c r="B457" s="15">
        <v>12164247</v>
      </c>
      <c r="D457" s="3"/>
      <c r="E457" s="5"/>
      <c r="F457" s="5"/>
    </row>
    <row r="458" spans="1:157">
      <c r="A458" s="6" t="s">
        <v>229</v>
      </c>
      <c r="B458" s="15">
        <v>6020788.8300000019</v>
      </c>
      <c r="C458" s="15">
        <v>7500500</v>
      </c>
      <c r="D458" s="1">
        <f>ROUND(C458/B460*B459,2)</f>
        <v>14851233.960000001</v>
      </c>
      <c r="E458" s="5">
        <f>D458-C458</f>
        <v>7350733.9600000009</v>
      </c>
      <c r="F458" s="5">
        <f>C458-C459</f>
        <v>1357041.8300000019</v>
      </c>
    </row>
    <row r="459" spans="1:157">
      <c r="A459" s="6" t="s">
        <v>230</v>
      </c>
      <c r="B459" s="17">
        <v>10957.5</v>
      </c>
      <c r="C459" s="5">
        <f>B457-B458</f>
        <v>6143458.1699999981</v>
      </c>
      <c r="D459" s="5">
        <f>ROUND(C459/5534*10957.5,2)</f>
        <v>12164247</v>
      </c>
      <c r="E459" s="5">
        <f>D459-C459</f>
        <v>6020788.8300000019</v>
      </c>
      <c r="F459" s="5">
        <f>-B456+F458</f>
        <v>7017090.4300000016</v>
      </c>
    </row>
    <row r="460" spans="1:157">
      <c r="A460" s="6" t="s">
        <v>231</v>
      </c>
      <c r="B460" s="16">
        <v>5534</v>
      </c>
      <c r="C460" t="s">
        <v>277</v>
      </c>
      <c r="D460">
        <v>2192</v>
      </c>
      <c r="E460" s="5"/>
    </row>
    <row r="461" spans="1:157">
      <c r="A461" s="6" t="s">
        <v>232</v>
      </c>
      <c r="B461" s="5">
        <v>4318557.7399999984</v>
      </c>
      <c r="E461" s="5"/>
    </row>
    <row r="462" spans="1:157">
      <c r="A462" s="6" t="s">
        <v>233</v>
      </c>
      <c r="B462" s="5">
        <v>-3835148.1699999995</v>
      </c>
      <c r="E462" s="5"/>
    </row>
    <row r="463" spans="1:157">
      <c r="A463" s="6" t="s">
        <v>234</v>
      </c>
      <c r="B463" s="5">
        <f>C459-B461</f>
        <v>1824900.4299999997</v>
      </c>
      <c r="E463" s="5"/>
    </row>
    <row r="464" spans="1:157">
      <c r="A464" s="6" t="s">
        <v>235</v>
      </c>
      <c r="B464" s="5">
        <f>B456-B462</f>
        <v>-1824900.4300000002</v>
      </c>
      <c r="E464" s="5"/>
    </row>
    <row r="465" spans="1:7">
      <c r="B465" s="5"/>
      <c r="E465" s="5"/>
    </row>
    <row r="466" spans="1:7">
      <c r="A466" s="9" t="s">
        <v>202</v>
      </c>
      <c r="C466" s="9" t="s">
        <v>203</v>
      </c>
      <c r="D466" s="10" t="s">
        <v>204</v>
      </c>
      <c r="E466" s="10" t="s">
        <v>205</v>
      </c>
    </row>
    <row r="467" spans="1:7">
      <c r="A467" s="18" t="s">
        <v>305</v>
      </c>
      <c r="E467" s="5"/>
    </row>
    <row r="468" spans="1:7">
      <c r="A468" t="s">
        <v>237</v>
      </c>
      <c r="C468" s="11">
        <f>'9'!$D$8</f>
        <v>5660048.5999999996</v>
      </c>
      <c r="D468" s="11">
        <f>'9'!$F$8</f>
        <v>5660048.5999999996</v>
      </c>
      <c r="E468" s="11">
        <f>D468-C468</f>
        <v>0</v>
      </c>
      <c r="G468" s="5"/>
    </row>
    <row r="469" spans="1:7">
      <c r="A469" t="s">
        <v>238</v>
      </c>
      <c r="C469" s="11">
        <f>'9'!$D$5</f>
        <v>12164247</v>
      </c>
      <c r="D469" s="11">
        <f>'9'!$F$5</f>
        <v>12164247</v>
      </c>
      <c r="E469" s="11">
        <f>C469-D469</f>
        <v>0</v>
      </c>
      <c r="G469" s="5"/>
    </row>
    <row r="470" spans="1:7">
      <c r="A470" t="s">
        <v>229</v>
      </c>
      <c r="C470" s="11">
        <f>'9'!$D$6</f>
        <v>6020788.8300000019</v>
      </c>
      <c r="D470" s="11">
        <f>'9'!$F$6</f>
        <v>6020788.8300000019</v>
      </c>
      <c r="E470" s="11">
        <f>D470-C470</f>
        <v>0</v>
      </c>
      <c r="G470" s="5"/>
    </row>
    <row r="471" spans="1:7" ht="15" thickBot="1">
      <c r="C471" s="11"/>
      <c r="D471" s="11"/>
      <c r="E471" s="32">
        <f>SUM(E468:E470)</f>
        <v>0</v>
      </c>
    </row>
    <row r="472" spans="1:7" ht="15" thickTop="1">
      <c r="A472" t="s">
        <v>279</v>
      </c>
      <c r="C472" s="11">
        <f>'9'!$D$21+'9'!$D$27</f>
        <v>372184.45</v>
      </c>
      <c r="D472" s="11">
        <f>'9'!$F$21+'9'!$F$27</f>
        <v>372184.45</v>
      </c>
      <c r="E472" s="11">
        <f>D472-C472</f>
        <v>0</v>
      </c>
    </row>
    <row r="473" spans="1:7">
      <c r="A473" t="s">
        <v>280</v>
      </c>
      <c r="C473" s="11">
        <f>'9'!$D$48+'9'!$D$45</f>
        <v>333007.78000000003</v>
      </c>
      <c r="D473" s="11">
        <f>'9'!$F$48+'9'!$F$45</f>
        <v>358665.45</v>
      </c>
      <c r="E473" s="11">
        <f>D473-C473</f>
        <v>25657.669999999984</v>
      </c>
    </row>
    <row r="474" spans="1:7">
      <c r="A474" t="s">
        <v>281</v>
      </c>
      <c r="C474" s="11">
        <f>'9'!$D$63</f>
        <v>332097.93</v>
      </c>
      <c r="D474" s="11">
        <f>'9'!$F$63</f>
        <v>379396.15</v>
      </c>
      <c r="E474" s="11">
        <f t="shared" ref="E474" si="73">D474-C474</f>
        <v>47298.22000000003</v>
      </c>
    </row>
    <row r="475" spans="1:7">
      <c r="A475" t="s">
        <v>286</v>
      </c>
      <c r="C475" s="11">
        <f>'9'!$D$24</f>
        <v>2749362.1599999983</v>
      </c>
      <c r="D475" s="11">
        <f>'9'!$F$24</f>
        <v>2749362.1599999983</v>
      </c>
      <c r="E475" s="11">
        <f t="shared" ref="E475:E481" si="74">C475-D475</f>
        <v>0</v>
      </c>
    </row>
    <row r="476" spans="1:7">
      <c r="A476" t="s">
        <v>306</v>
      </c>
      <c r="C476" s="11">
        <f>'9'!$D$50</f>
        <v>0</v>
      </c>
      <c r="D476" s="11">
        <f>'9'!$F$50</f>
        <v>1400000</v>
      </c>
      <c r="E476" s="11">
        <f t="shared" si="74"/>
        <v>-1400000</v>
      </c>
    </row>
    <row r="477" spans="1:7">
      <c r="A477" t="s">
        <v>307</v>
      </c>
      <c r="C477" s="11"/>
      <c r="D477" s="11"/>
      <c r="E477" s="11"/>
    </row>
    <row r="478" spans="1:7">
      <c r="A478" t="s">
        <v>242</v>
      </c>
      <c r="C478" s="11">
        <f>'9'!$D$20+'9'!$D$26</f>
        <v>404810.29000000004</v>
      </c>
      <c r="D478" s="11">
        <f>'9'!$F$20+'9'!$F$26</f>
        <v>404810.29000000004</v>
      </c>
      <c r="E478" s="11">
        <f t="shared" si="74"/>
        <v>0</v>
      </c>
    </row>
    <row r="479" spans="1:7">
      <c r="A479" t="s">
        <v>243</v>
      </c>
      <c r="C479" s="11">
        <f>'9'!$D$44+'9'!$D$47</f>
        <v>392142.73</v>
      </c>
      <c r="D479" s="11">
        <f>'9'!$F$44+'9'!$F$47</f>
        <v>408840.79000000004</v>
      </c>
      <c r="E479" s="11">
        <f t="shared" si="74"/>
        <v>-16698.060000000056</v>
      </c>
    </row>
    <row r="480" spans="1:7">
      <c r="A480" t="s">
        <v>244</v>
      </c>
      <c r="C480" s="11">
        <f>'9'!$D$62</f>
        <v>391071.3</v>
      </c>
      <c r="D480" s="11">
        <f>'9'!$F$62</f>
        <v>421853.09</v>
      </c>
      <c r="E480" s="11">
        <f t="shared" si="74"/>
        <v>-30781.790000000037</v>
      </c>
    </row>
    <row r="481" spans="1:157">
      <c r="A481" t="s">
        <v>286</v>
      </c>
      <c r="C481" s="11">
        <f>'9'!$D$24</f>
        <v>2749362.1599999983</v>
      </c>
      <c r="D481" s="11">
        <f>'9'!$F$24</f>
        <v>2749362.1599999983</v>
      </c>
      <c r="E481" s="11">
        <f t="shared" si="74"/>
        <v>0</v>
      </c>
    </row>
    <row r="482" spans="1:157">
      <c r="A482" t="s">
        <v>308</v>
      </c>
      <c r="C482" s="11">
        <f>'9'!$D$50</f>
        <v>0</v>
      </c>
      <c r="D482" s="11">
        <f>'9'!$F$50</f>
        <v>1400000</v>
      </c>
      <c r="E482" s="11">
        <f>D482-C482</f>
        <v>1400000</v>
      </c>
    </row>
    <row r="483" spans="1:157">
      <c r="A483" t="s">
        <v>309</v>
      </c>
      <c r="C483" s="11"/>
      <c r="D483" s="11"/>
      <c r="E483" s="11"/>
    </row>
    <row r="484" spans="1:157">
      <c r="A484" t="s">
        <v>310</v>
      </c>
      <c r="C484" s="11"/>
      <c r="D484" s="11"/>
      <c r="E484" s="11">
        <f>-E473</f>
        <v>-25657.669999999984</v>
      </c>
    </row>
    <row r="485" spans="1:157">
      <c r="A485" t="s">
        <v>289</v>
      </c>
      <c r="C485" s="11"/>
      <c r="D485" s="11"/>
      <c r="E485" s="11">
        <f>-E474</f>
        <v>-47298.22000000003</v>
      </c>
    </row>
    <row r="486" spans="1:157">
      <c r="A486" t="s">
        <v>290</v>
      </c>
      <c r="C486" s="11"/>
      <c r="D486" s="11"/>
      <c r="E486" s="11">
        <f>-E475</f>
        <v>0</v>
      </c>
    </row>
    <row r="487" spans="1:157">
      <c r="A487" t="s">
        <v>311</v>
      </c>
      <c r="C487" s="11"/>
      <c r="D487" s="11"/>
      <c r="E487" s="11">
        <f>-E478</f>
        <v>0</v>
      </c>
    </row>
    <row r="488" spans="1:157">
      <c r="A488" t="s">
        <v>291</v>
      </c>
      <c r="C488" s="11"/>
      <c r="D488" s="11"/>
      <c r="E488" s="11">
        <f>-E479</f>
        <v>16698.060000000056</v>
      </c>
    </row>
    <row r="489" spans="1:157">
      <c r="A489" t="s">
        <v>292</v>
      </c>
      <c r="C489" s="11"/>
      <c r="D489" s="11"/>
      <c r="E489" s="11">
        <f>-E480</f>
        <v>30781.790000000037</v>
      </c>
    </row>
    <row r="491" spans="1:157" ht="28.9">
      <c r="A491" s="6" t="s">
        <v>313</v>
      </c>
      <c r="B491" s="6"/>
      <c r="C491" s="6" t="s">
        <v>163</v>
      </c>
      <c r="D491" t="s">
        <v>164</v>
      </c>
      <c r="E491">
        <v>0</v>
      </c>
      <c r="F491">
        <v>10767</v>
      </c>
      <c r="G491" t="s">
        <v>165</v>
      </c>
      <c r="H491" t="s">
        <v>166</v>
      </c>
      <c r="I491" t="s">
        <v>167</v>
      </c>
      <c r="K491" t="s">
        <v>167</v>
      </c>
      <c r="O491" t="s">
        <v>168</v>
      </c>
      <c r="P491" t="s">
        <v>169</v>
      </c>
      <c r="Q491" t="s">
        <v>170</v>
      </c>
      <c r="R491" t="s">
        <v>167</v>
      </c>
      <c r="S491" t="s">
        <v>171</v>
      </c>
      <c r="U491" t="s">
        <v>167</v>
      </c>
      <c r="V491" t="s">
        <v>167</v>
      </c>
      <c r="W491" t="s">
        <v>172</v>
      </c>
      <c r="X491" t="s">
        <v>173</v>
      </c>
      <c r="Y491" t="s">
        <v>174</v>
      </c>
      <c r="Z491" t="s">
        <v>170</v>
      </c>
      <c r="AA491" t="s">
        <v>175</v>
      </c>
      <c r="AB491" t="s">
        <v>176</v>
      </c>
      <c r="AC491" t="s">
        <v>177</v>
      </c>
      <c r="AD491" t="s">
        <v>178</v>
      </c>
      <c r="AE491" t="s">
        <v>179</v>
      </c>
      <c r="AF491" s="3">
        <v>45306</v>
      </c>
      <c r="AG491" s="3">
        <v>45306</v>
      </c>
      <c r="AH491" s="3">
        <v>45306</v>
      </c>
      <c r="AL491" s="3">
        <v>45306</v>
      </c>
      <c r="AM491" s="3">
        <v>45473</v>
      </c>
      <c r="AN491" t="s">
        <v>180</v>
      </c>
      <c r="AP491" s="3">
        <v>45473</v>
      </c>
      <c r="AS491" t="s">
        <v>181</v>
      </c>
      <c r="AT491" t="s">
        <v>182</v>
      </c>
      <c r="AV491" t="s">
        <v>182</v>
      </c>
      <c r="AW491" s="5">
        <v>3046098.51</v>
      </c>
      <c r="AX491" s="7">
        <f>ER491</f>
        <v>2601284.8199999998</v>
      </c>
      <c r="AY491">
        <v>0</v>
      </c>
      <c r="AZ491">
        <v>0</v>
      </c>
      <c r="BA491" t="s">
        <v>183</v>
      </c>
      <c r="BB491">
        <v>10</v>
      </c>
      <c r="BC491">
        <v>120</v>
      </c>
      <c r="BD491">
        <v>3650</v>
      </c>
      <c r="BE491" s="4">
        <f>BG491/365</f>
        <v>9.5397260273972595</v>
      </c>
      <c r="BF491" s="4">
        <f>BE491*12</f>
        <v>114.47671232876712</v>
      </c>
      <c r="BG491" s="4">
        <f>'10.1'!$B$26</f>
        <v>3482</v>
      </c>
      <c r="BI491" t="s">
        <v>184</v>
      </c>
      <c r="BN491">
        <v>1</v>
      </c>
      <c r="BO491">
        <v>0</v>
      </c>
      <c r="BP491">
        <v>0</v>
      </c>
      <c r="BY491" t="s">
        <v>185</v>
      </c>
      <c r="BZ491" t="s">
        <v>186</v>
      </c>
      <c r="CA491" t="s">
        <v>187</v>
      </c>
      <c r="CB491" t="s">
        <v>188</v>
      </c>
      <c r="CC491" t="s">
        <v>189</v>
      </c>
      <c r="CD491" t="s">
        <v>190</v>
      </c>
      <c r="CE491" t="s">
        <v>191</v>
      </c>
      <c r="CF491" t="s">
        <v>192</v>
      </c>
      <c r="CG491" t="s">
        <v>193</v>
      </c>
      <c r="CH491" t="s">
        <v>194</v>
      </c>
      <c r="CI491" t="s">
        <v>195</v>
      </c>
      <c r="CJ491" t="s">
        <v>196</v>
      </c>
      <c r="CK491" t="s">
        <v>197</v>
      </c>
      <c r="CN491" t="s">
        <v>198</v>
      </c>
      <c r="CU491">
        <v>-32.188583870550602</v>
      </c>
      <c r="CV491">
        <v>28.055331967751801</v>
      </c>
      <c r="CW491" s="1">
        <f>DS491</f>
        <v>3046098.51</v>
      </c>
      <c r="CX491">
        <v>0</v>
      </c>
      <c r="CZ491" s="1"/>
      <c r="DA491" s="1">
        <v>1</v>
      </c>
      <c r="DB491" s="1">
        <v>3036924.77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 t="s">
        <v>187</v>
      </c>
      <c r="DR491" s="1">
        <f>'10.1'!$B$21</f>
        <v>3046098.51</v>
      </c>
      <c r="DS491" s="1">
        <f>'10.1'!$B$21</f>
        <v>3046098.51</v>
      </c>
      <c r="DT491" s="1">
        <v>0</v>
      </c>
      <c r="DU491" s="1">
        <v>1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/>
      <c r="ED491" s="1">
        <f>DS491+DT491+DV491-DW491+DX491-DY491+DZ491+EA491+EB491-EC491</f>
        <v>3046098.51</v>
      </c>
      <c r="EE491" s="1">
        <f>'10.1'!$B$13+'10.1'!$B$18+'10.1'!$B$16</f>
        <v>140203.94</v>
      </c>
      <c r="EF491" s="1">
        <f>'10.1'!$B$13+'10.1'!$B$18+'10.1'!$B$16</f>
        <v>140203.94</v>
      </c>
      <c r="EG491" s="28">
        <f>'10.1'!$B$28</f>
        <v>304609.75</v>
      </c>
      <c r="EH491" s="1">
        <v>0</v>
      </c>
      <c r="EI491" s="1">
        <v>0</v>
      </c>
      <c r="EJ491" s="1">
        <v>0</v>
      </c>
      <c r="EK491" s="1">
        <f>EF491+EG491+EH491-EI491-EJ491</f>
        <v>444813.69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f>EM491+EN491-EO491-EP491</f>
        <v>0</v>
      </c>
      <c r="ER491" s="1">
        <f>ED491-EK491-EQ491</f>
        <v>2601284.8199999998</v>
      </c>
      <c r="ES491" s="1">
        <v>0</v>
      </c>
      <c r="ET491" s="1">
        <v>0</v>
      </c>
      <c r="EZ491" t="s">
        <v>170</v>
      </c>
      <c r="FA491" t="s">
        <v>199</v>
      </c>
    </row>
    <row r="492" spans="1:157">
      <c r="A492" s="6" t="s">
        <v>313</v>
      </c>
      <c r="B492" s="6"/>
      <c r="C492" s="6" t="s">
        <v>200</v>
      </c>
      <c r="D492" t="s">
        <v>164</v>
      </c>
      <c r="E492">
        <v>0</v>
      </c>
      <c r="F492">
        <v>10767</v>
      </c>
      <c r="G492" t="s">
        <v>165</v>
      </c>
      <c r="H492" t="s">
        <v>166</v>
      </c>
      <c r="I492" t="s">
        <v>167</v>
      </c>
      <c r="K492" t="s">
        <v>167</v>
      </c>
      <c r="O492" t="s">
        <v>168</v>
      </c>
      <c r="P492" t="s">
        <v>169</v>
      </c>
      <c r="Q492" t="s">
        <v>170</v>
      </c>
      <c r="R492" t="s">
        <v>167</v>
      </c>
      <c r="S492" t="s">
        <v>171</v>
      </c>
      <c r="U492" t="s">
        <v>167</v>
      </c>
      <c r="V492" t="s">
        <v>167</v>
      </c>
      <c r="W492" t="s">
        <v>172</v>
      </c>
      <c r="X492" t="s">
        <v>173</v>
      </c>
      <c r="Y492" t="s">
        <v>174</v>
      </c>
      <c r="Z492" t="s">
        <v>170</v>
      </c>
      <c r="AA492" t="s">
        <v>175</v>
      </c>
      <c r="AB492" t="s">
        <v>176</v>
      </c>
      <c r="AC492" t="s">
        <v>177</v>
      </c>
      <c r="AD492" t="s">
        <v>178</v>
      </c>
      <c r="AE492" t="s">
        <v>179</v>
      </c>
      <c r="AF492" s="3">
        <v>45306</v>
      </c>
      <c r="AG492" s="3">
        <v>45306</v>
      </c>
      <c r="AH492" s="3">
        <v>45306</v>
      </c>
      <c r="AI492" s="3">
        <v>45463</v>
      </c>
      <c r="AL492" s="3">
        <v>45306</v>
      </c>
      <c r="AM492" s="3">
        <v>45473</v>
      </c>
      <c r="AN492" t="s">
        <v>180</v>
      </c>
      <c r="AP492" s="3">
        <v>45473</v>
      </c>
      <c r="AS492" t="s">
        <v>181</v>
      </c>
      <c r="AT492" t="s">
        <v>182</v>
      </c>
      <c r="AV492" t="s">
        <v>182</v>
      </c>
      <c r="AW492" s="5">
        <v>3807623.14</v>
      </c>
      <c r="AX492" s="7">
        <f>ER492</f>
        <v>0</v>
      </c>
      <c r="AY492">
        <v>0</v>
      </c>
      <c r="AZ492">
        <v>0</v>
      </c>
      <c r="BA492" t="s">
        <v>183</v>
      </c>
      <c r="BB492">
        <v>10</v>
      </c>
      <c r="BC492">
        <v>120</v>
      </c>
      <c r="BD492">
        <v>3650</v>
      </c>
      <c r="BE492" s="4">
        <f>BG492/365</f>
        <v>0</v>
      </c>
      <c r="BF492" s="4">
        <f>BE492*12</f>
        <v>0</v>
      </c>
      <c r="BG492" s="7">
        <f>'10.1'!$C$26</f>
        <v>0</v>
      </c>
      <c r="BI492" t="s">
        <v>184</v>
      </c>
      <c r="BN492">
        <v>1</v>
      </c>
      <c r="BO492">
        <v>0</v>
      </c>
      <c r="BP492">
        <v>0</v>
      </c>
      <c r="BY492" t="s">
        <v>185</v>
      </c>
      <c r="BZ492" t="s">
        <v>186</v>
      </c>
      <c r="CA492" t="s">
        <v>187</v>
      </c>
      <c r="CB492" t="s">
        <v>188</v>
      </c>
      <c r="CC492" t="s">
        <v>189</v>
      </c>
      <c r="CD492" t="s">
        <v>190</v>
      </c>
      <c r="CE492" t="s">
        <v>191</v>
      </c>
      <c r="CF492" t="s">
        <v>192</v>
      </c>
      <c r="CG492" t="s">
        <v>193</v>
      </c>
      <c r="CH492" t="s">
        <v>194</v>
      </c>
      <c r="CI492" t="s">
        <v>195</v>
      </c>
      <c r="CJ492" t="s">
        <v>196</v>
      </c>
      <c r="CK492" t="s">
        <v>197</v>
      </c>
      <c r="CN492" t="s">
        <v>198</v>
      </c>
      <c r="CU492">
        <v>-32.188583870550602</v>
      </c>
      <c r="CV492">
        <v>28.055331967751801</v>
      </c>
      <c r="CW492" s="1">
        <f>DS492</f>
        <v>0</v>
      </c>
      <c r="CX492">
        <v>0</v>
      </c>
      <c r="CZ492" s="1"/>
      <c r="DA492" s="1">
        <v>1</v>
      </c>
      <c r="DB492" s="1">
        <v>3036924.77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 t="s">
        <v>187</v>
      </c>
      <c r="DR492" s="1">
        <f>'10.1'!$C$21</f>
        <v>0</v>
      </c>
      <c r="DS492" s="1">
        <f>'10.1'!$C$21</f>
        <v>0</v>
      </c>
      <c r="DT492" s="1">
        <v>0</v>
      </c>
      <c r="DU492" s="1">
        <v>1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/>
      <c r="ED492" s="1">
        <f>DS492+DT492+DV492-DW492+DX492-DY492+DZ492+EA492+EB492-EC492</f>
        <v>0</v>
      </c>
      <c r="EE492" s="1">
        <f>'10.1'!$C$13+'10.1'!$C$18+'10.1'!$C$16</f>
        <v>0</v>
      </c>
      <c r="EF492" s="1">
        <f>'10.1'!$C$13+'10.1'!$C$18+'10.1'!$C$16</f>
        <v>0</v>
      </c>
      <c r="EG492" s="28">
        <f>'10.1'!$C$28</f>
        <v>0</v>
      </c>
      <c r="EH492" s="1">
        <v>0</v>
      </c>
      <c r="EI492" s="1">
        <v>0</v>
      </c>
      <c r="EJ492" s="1">
        <v>0</v>
      </c>
      <c r="EK492" s="1">
        <f>EF492+EG492+EH492-EI492-EJ492</f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f>EM492+EN492-EO492-EP492</f>
        <v>0</v>
      </c>
      <c r="ER492" s="1">
        <f>ED492-EK492-EQ492</f>
        <v>0</v>
      </c>
      <c r="ES492" s="1">
        <v>0</v>
      </c>
      <c r="ET492" s="1">
        <v>0</v>
      </c>
      <c r="EZ492" t="s">
        <v>170</v>
      </c>
      <c r="FA492" t="s">
        <v>199</v>
      </c>
    </row>
    <row r="493" spans="1:157" ht="15" thickBot="1">
      <c r="A493" s="6" t="s">
        <v>313</v>
      </c>
      <c r="B493" s="6"/>
      <c r="C493" s="1" t="s">
        <v>201</v>
      </c>
      <c r="CZ493" s="1"/>
      <c r="DS493" s="8">
        <f>DS491-DS492</f>
        <v>3046098.51</v>
      </c>
      <c r="ED493" s="8">
        <f>ED491-ED492</f>
        <v>3046098.51</v>
      </c>
      <c r="EE493" s="8">
        <f t="shared" ref="EE493:EF493" si="75">EE491-EE492</f>
        <v>140203.94</v>
      </c>
      <c r="EF493" s="8">
        <f t="shared" si="75"/>
        <v>140203.94</v>
      </c>
      <c r="EG493" s="8">
        <f>EG491-EG492</f>
        <v>304609.75</v>
      </c>
      <c r="EH493" s="8">
        <f t="shared" ref="EH493:EK493" si="76">EH491-EH492</f>
        <v>0</v>
      </c>
      <c r="EI493" s="8">
        <f t="shared" si="76"/>
        <v>0</v>
      </c>
      <c r="EJ493" s="8">
        <f t="shared" si="76"/>
        <v>0</v>
      </c>
      <c r="EK493" s="8">
        <f t="shared" si="76"/>
        <v>444813.69</v>
      </c>
      <c r="ER493" s="8">
        <f>ER491-ER492</f>
        <v>2601284.8199999998</v>
      </c>
    </row>
    <row r="494" spans="1:157" ht="15" thickTop="1">
      <c r="A494" s="5"/>
      <c r="B494" s="5"/>
      <c r="C494" s="5"/>
    </row>
    <row r="495" spans="1:157">
      <c r="A495" s="9" t="s">
        <v>202</v>
      </c>
      <c r="B495" s="9"/>
      <c r="C495" s="9" t="s">
        <v>203</v>
      </c>
      <c r="D495" s="10" t="s">
        <v>204</v>
      </c>
      <c r="E495" s="10" t="s">
        <v>205</v>
      </c>
    </row>
    <row r="496" spans="1:157">
      <c r="A496" s="6" t="s">
        <v>271</v>
      </c>
      <c r="B496" s="9"/>
      <c r="C496" s="9"/>
      <c r="D496" s="10"/>
      <c r="E496" s="10"/>
    </row>
    <row r="497" spans="1:157">
      <c r="A497" s="6" t="s">
        <v>207</v>
      </c>
      <c r="B497" s="6"/>
      <c r="C497" s="11">
        <f>'10.1'!$B$21</f>
        <v>3046098.51</v>
      </c>
      <c r="D497" s="11">
        <f>'10.1'!$C$21</f>
        <v>0</v>
      </c>
      <c r="E497" s="11">
        <f>D497-C497</f>
        <v>-3046098.51</v>
      </c>
      <c r="G497" s="5"/>
    </row>
    <row r="498" spans="1:157">
      <c r="A498" s="6" t="s">
        <v>208</v>
      </c>
      <c r="B498" s="6"/>
      <c r="C498" s="11"/>
      <c r="D498" s="11"/>
      <c r="E498" s="11"/>
    </row>
    <row r="499" spans="1:157">
      <c r="A499" s="6" t="s">
        <v>314</v>
      </c>
      <c r="B499" s="6"/>
      <c r="C499" s="11"/>
      <c r="D499" s="11"/>
      <c r="E499" s="11"/>
    </row>
    <row r="500" spans="1:157">
      <c r="A500" s="6" t="s">
        <v>212</v>
      </c>
      <c r="B500" s="6"/>
      <c r="C500" s="11">
        <f>'10.1'!$B$22</f>
        <v>140203.94</v>
      </c>
      <c r="D500" s="11">
        <f>'10.1'!$C$22</f>
        <v>0</v>
      </c>
      <c r="E500" s="11">
        <f>C500-D500</f>
        <v>140203.94</v>
      </c>
    </row>
    <row r="501" spans="1:157">
      <c r="A501" s="6" t="s">
        <v>213</v>
      </c>
      <c r="B501" s="6"/>
      <c r="C501" s="11">
        <f>'10.1'!$B$28</f>
        <v>304609.75</v>
      </c>
      <c r="D501" s="11">
        <f>'10.1'!$C$28</f>
        <v>0</v>
      </c>
      <c r="E501" s="11">
        <f>C501-D501</f>
        <v>304609.75</v>
      </c>
    </row>
    <row r="502" spans="1:157">
      <c r="A502" s="6" t="s">
        <v>315</v>
      </c>
      <c r="B502" s="6"/>
      <c r="C502" s="11"/>
      <c r="D502" s="11">
        <f>-'10.1'!C15+'10.1'!C16</f>
        <v>2914240.0399999996</v>
      </c>
      <c r="E502" s="11">
        <f>D502-C502</f>
        <v>2914240.0399999996</v>
      </c>
    </row>
    <row r="503" spans="1:157">
      <c r="A503" s="6" t="s">
        <v>254</v>
      </c>
      <c r="B503" s="6"/>
      <c r="C503" s="11">
        <f>'10.1'!$B$13+'10.1'!$B$18</f>
        <v>140203.94</v>
      </c>
      <c r="D503" s="11">
        <f>'10.1'!$C$13+'10.1'!$C$18</f>
        <v>131858.47</v>
      </c>
      <c r="E503" s="11">
        <f>D503-C503</f>
        <v>-8345.4700000000012</v>
      </c>
    </row>
    <row r="504" spans="1:157">
      <c r="A504" s="6" t="s">
        <v>215</v>
      </c>
      <c r="B504" s="6"/>
      <c r="C504" s="11">
        <f>C501</f>
        <v>304609.75</v>
      </c>
      <c r="D504" s="11">
        <f>D501</f>
        <v>0</v>
      </c>
      <c r="E504" s="11">
        <f>D504-C504</f>
        <v>-304609.75</v>
      </c>
    </row>
    <row r="508" spans="1:157" ht="28.9">
      <c r="A508" s="6" t="s">
        <v>316</v>
      </c>
      <c r="B508" s="6"/>
      <c r="C508" s="6" t="s">
        <v>163</v>
      </c>
      <c r="D508" t="s">
        <v>164</v>
      </c>
      <c r="E508">
        <v>0</v>
      </c>
      <c r="F508">
        <v>10767</v>
      </c>
      <c r="G508" t="s">
        <v>165</v>
      </c>
      <c r="H508" t="s">
        <v>166</v>
      </c>
      <c r="I508" t="s">
        <v>167</v>
      </c>
      <c r="K508" t="s">
        <v>167</v>
      </c>
      <c r="O508" t="s">
        <v>168</v>
      </c>
      <c r="P508" t="s">
        <v>169</v>
      </c>
      <c r="Q508" t="s">
        <v>170</v>
      </c>
      <c r="R508" t="s">
        <v>167</v>
      </c>
      <c r="S508" t="s">
        <v>171</v>
      </c>
      <c r="U508" t="s">
        <v>167</v>
      </c>
      <c r="V508" t="s">
        <v>167</v>
      </c>
      <c r="W508" t="s">
        <v>172</v>
      </c>
      <c r="X508" t="s">
        <v>173</v>
      </c>
      <c r="Y508" t="s">
        <v>174</v>
      </c>
      <c r="Z508" t="s">
        <v>170</v>
      </c>
      <c r="AA508" t="s">
        <v>175</v>
      </c>
      <c r="AB508" t="s">
        <v>176</v>
      </c>
      <c r="AC508" t="s">
        <v>177</v>
      </c>
      <c r="AD508" t="s">
        <v>178</v>
      </c>
      <c r="AE508" t="s">
        <v>179</v>
      </c>
      <c r="AF508" s="3">
        <v>45306</v>
      </c>
      <c r="AG508" s="3">
        <v>45306</v>
      </c>
      <c r="AH508" s="3">
        <v>45306</v>
      </c>
      <c r="AL508" s="3">
        <v>45306</v>
      </c>
      <c r="AM508" s="3">
        <v>45473</v>
      </c>
      <c r="AN508" t="s">
        <v>180</v>
      </c>
      <c r="AP508" s="3">
        <v>45473</v>
      </c>
      <c r="AS508" t="s">
        <v>181</v>
      </c>
      <c r="AT508" t="s">
        <v>182</v>
      </c>
      <c r="AV508" t="s">
        <v>182</v>
      </c>
      <c r="AW508" s="5">
        <v>3046098.51</v>
      </c>
      <c r="AX508" s="7">
        <f>ER508</f>
        <v>583562.16000000015</v>
      </c>
      <c r="AY508">
        <v>0</v>
      </c>
      <c r="AZ508">
        <v>0</v>
      </c>
      <c r="BA508" t="s">
        <v>183</v>
      </c>
      <c r="BB508">
        <v>10</v>
      </c>
      <c r="BC508">
        <v>120</v>
      </c>
      <c r="BD508">
        <v>3650</v>
      </c>
      <c r="BE508" s="4">
        <f>BG508/365</f>
        <v>0.9726027397260274</v>
      </c>
      <c r="BF508" s="4">
        <f>BE508*12</f>
        <v>11.671232876712329</v>
      </c>
      <c r="BG508" s="4">
        <f>'10.2'!$C$44</f>
        <v>355</v>
      </c>
      <c r="BI508" t="s">
        <v>184</v>
      </c>
      <c r="BN508">
        <v>1</v>
      </c>
      <c r="BO508">
        <v>0</v>
      </c>
      <c r="BP508">
        <v>0</v>
      </c>
      <c r="BY508" t="s">
        <v>185</v>
      </c>
      <c r="BZ508" t="s">
        <v>186</v>
      </c>
      <c r="CA508" t="s">
        <v>187</v>
      </c>
      <c r="CB508" t="s">
        <v>188</v>
      </c>
      <c r="CC508" t="s">
        <v>189</v>
      </c>
      <c r="CD508" t="s">
        <v>190</v>
      </c>
      <c r="CE508" t="s">
        <v>191</v>
      </c>
      <c r="CF508" t="s">
        <v>192</v>
      </c>
      <c r="CG508" t="s">
        <v>193</v>
      </c>
      <c r="CH508" t="s">
        <v>194</v>
      </c>
      <c r="CI508" t="s">
        <v>195</v>
      </c>
      <c r="CJ508" t="s">
        <v>196</v>
      </c>
      <c r="CK508" t="s">
        <v>197</v>
      </c>
      <c r="CN508" t="s">
        <v>198</v>
      </c>
      <c r="CU508">
        <v>-32.188583870550602</v>
      </c>
      <c r="CV508">
        <v>28.055331967751801</v>
      </c>
      <c r="CW508" s="1">
        <f>DS508</f>
        <v>3046098.51</v>
      </c>
      <c r="CX508">
        <v>0</v>
      </c>
      <c r="CZ508" s="1"/>
      <c r="DA508" s="1">
        <v>1</v>
      </c>
      <c r="DB508" s="1">
        <v>3036924.77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 t="s">
        <v>187</v>
      </c>
      <c r="DR508" s="1">
        <f>'10.2'!$C$28</f>
        <v>3046098.51</v>
      </c>
      <c r="DS508" s="1">
        <f>'10.2'!$C$28</f>
        <v>3046098.51</v>
      </c>
      <c r="DT508" s="1">
        <v>0</v>
      </c>
      <c r="DU508" s="1">
        <v>1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/>
      <c r="ED508" s="1">
        <f>DS508+DT508+DV508-DW508+DX508-DY508+DZ508+EA508+EB508-EC508</f>
        <v>3046098.51</v>
      </c>
      <c r="EE508" s="1">
        <f>'10.2'!$C$29</f>
        <v>148296.81</v>
      </c>
      <c r="EF508" s="1">
        <f>'10.2'!$C$29</f>
        <v>148296.81</v>
      </c>
      <c r="EG508" s="28">
        <f>'10.2'!$C$35</f>
        <v>599999.5</v>
      </c>
      <c r="EH508" s="1">
        <v>0</v>
      </c>
      <c r="EI508" s="1">
        <v>0</v>
      </c>
      <c r="EJ508" s="1">
        <v>0</v>
      </c>
      <c r="EK508" s="1">
        <f>EF508+EG508+EH508-EI508-EJ508</f>
        <v>748296.31</v>
      </c>
      <c r="EL508" s="1">
        <f>'10.2'!$C$30</f>
        <v>1714240.0399999996</v>
      </c>
      <c r="EM508" s="1">
        <f>'10.2'!$C$30</f>
        <v>1714240.0399999996</v>
      </c>
      <c r="EN508" s="1">
        <v>0</v>
      </c>
      <c r="EO508" s="1">
        <v>0</v>
      </c>
      <c r="EP508" s="1">
        <v>0</v>
      </c>
      <c r="EQ508" s="1">
        <f>EM508+EN508-EO508-EP508</f>
        <v>1714240.0399999996</v>
      </c>
      <c r="ER508" s="1">
        <f>ED508-EK508-EQ508</f>
        <v>583562.16000000015</v>
      </c>
      <c r="ES508" s="1">
        <v>0</v>
      </c>
      <c r="ET508" s="1">
        <v>0</v>
      </c>
      <c r="EZ508" t="s">
        <v>170</v>
      </c>
      <c r="FA508" t="s">
        <v>199</v>
      </c>
    </row>
    <row r="509" spans="1:157" ht="28.9">
      <c r="A509" s="6" t="s">
        <v>316</v>
      </c>
      <c r="B509" s="6"/>
      <c r="C509" s="6" t="s">
        <v>200</v>
      </c>
      <c r="D509" t="s">
        <v>164</v>
      </c>
      <c r="E509">
        <v>0</v>
      </c>
      <c r="F509">
        <v>10767</v>
      </c>
      <c r="G509" t="s">
        <v>165</v>
      </c>
      <c r="H509" t="s">
        <v>166</v>
      </c>
      <c r="I509" t="s">
        <v>167</v>
      </c>
      <c r="K509" t="s">
        <v>167</v>
      </c>
      <c r="O509" t="s">
        <v>168</v>
      </c>
      <c r="P509" t="s">
        <v>169</v>
      </c>
      <c r="Q509" t="s">
        <v>170</v>
      </c>
      <c r="R509" t="s">
        <v>167</v>
      </c>
      <c r="S509" t="s">
        <v>171</v>
      </c>
      <c r="U509" t="s">
        <v>167</v>
      </c>
      <c r="V509" t="s">
        <v>167</v>
      </c>
      <c r="W509" t="s">
        <v>172</v>
      </c>
      <c r="X509" t="s">
        <v>173</v>
      </c>
      <c r="Y509" t="s">
        <v>174</v>
      </c>
      <c r="Z509" t="s">
        <v>170</v>
      </c>
      <c r="AA509" t="s">
        <v>175</v>
      </c>
      <c r="AB509" t="s">
        <v>176</v>
      </c>
      <c r="AC509" t="s">
        <v>177</v>
      </c>
      <c r="AD509" t="s">
        <v>178</v>
      </c>
      <c r="AE509" t="s">
        <v>179</v>
      </c>
      <c r="AF509" s="3">
        <v>45306</v>
      </c>
      <c r="AG509" s="3">
        <v>45306</v>
      </c>
      <c r="AH509" s="3">
        <v>45306</v>
      </c>
      <c r="AI509" s="3">
        <v>45463</v>
      </c>
      <c r="AL509" s="3">
        <v>45306</v>
      </c>
      <c r="AM509" s="3">
        <v>45473</v>
      </c>
      <c r="AN509" t="s">
        <v>180</v>
      </c>
      <c r="AP509" s="3">
        <v>45473</v>
      </c>
      <c r="AS509" t="s">
        <v>181</v>
      </c>
      <c r="AT509" t="s">
        <v>182</v>
      </c>
      <c r="AV509" t="s">
        <v>182</v>
      </c>
      <c r="AW509" s="5">
        <v>3807623.14</v>
      </c>
      <c r="AX509" s="7">
        <f>ER509</f>
        <v>0</v>
      </c>
      <c r="AY509">
        <v>0</v>
      </c>
      <c r="AZ509">
        <v>0</v>
      </c>
      <c r="BA509" t="s">
        <v>183</v>
      </c>
      <c r="BB509">
        <v>10</v>
      </c>
      <c r="BC509">
        <v>120</v>
      </c>
      <c r="BD509">
        <v>3650</v>
      </c>
      <c r="BE509" s="4">
        <f>BG509/365</f>
        <v>0</v>
      </c>
      <c r="BF509" s="4">
        <f>BE509*12</f>
        <v>0</v>
      </c>
      <c r="BG509" s="4">
        <f>'10.2'!$E$44</f>
        <v>0</v>
      </c>
      <c r="BI509" t="s">
        <v>184</v>
      </c>
      <c r="BN509">
        <v>1</v>
      </c>
      <c r="BO509">
        <v>0</v>
      </c>
      <c r="BP509">
        <v>0</v>
      </c>
      <c r="BY509" t="s">
        <v>185</v>
      </c>
      <c r="BZ509" t="s">
        <v>186</v>
      </c>
      <c r="CA509" t="s">
        <v>187</v>
      </c>
      <c r="CB509" t="s">
        <v>188</v>
      </c>
      <c r="CC509" t="s">
        <v>189</v>
      </c>
      <c r="CD509" t="s">
        <v>190</v>
      </c>
      <c r="CE509" t="s">
        <v>191</v>
      </c>
      <c r="CF509" t="s">
        <v>192</v>
      </c>
      <c r="CG509" t="s">
        <v>193</v>
      </c>
      <c r="CH509" t="s">
        <v>194</v>
      </c>
      <c r="CI509" t="s">
        <v>195</v>
      </c>
      <c r="CJ509" t="s">
        <v>196</v>
      </c>
      <c r="CK509" t="s">
        <v>197</v>
      </c>
      <c r="CN509" t="s">
        <v>198</v>
      </c>
      <c r="CU509">
        <v>-32.188583870550602</v>
      </c>
      <c r="CV509">
        <v>28.055331967751801</v>
      </c>
      <c r="CW509" s="1">
        <f>DS509</f>
        <v>0</v>
      </c>
      <c r="CX509">
        <v>0</v>
      </c>
      <c r="CZ509" s="1"/>
      <c r="DA509" s="1">
        <v>1</v>
      </c>
      <c r="DB509" s="1">
        <v>3036924.77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 t="s">
        <v>187</v>
      </c>
      <c r="DR509" s="1">
        <f>'10.2'!$E$28</f>
        <v>0</v>
      </c>
      <c r="DS509" s="1">
        <f>'10.2'!$E$28</f>
        <v>0</v>
      </c>
      <c r="DT509" s="1">
        <v>0</v>
      </c>
      <c r="DU509" s="1">
        <v>1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/>
      <c r="ED509" s="1">
        <f>DS509+DT509+DV509-DW509+DX509-DY509+DZ509+EA509+EB509-EC509</f>
        <v>0</v>
      </c>
      <c r="EE509" s="1">
        <f>'10.2'!$E$29</f>
        <v>0</v>
      </c>
      <c r="EF509" s="1">
        <f>'10.2'!$E$29</f>
        <v>0</v>
      </c>
      <c r="EG509" s="28">
        <f>'10.2'!$E$35</f>
        <v>0</v>
      </c>
      <c r="EH509" s="1">
        <v>0</v>
      </c>
      <c r="EI509" s="1">
        <v>0</v>
      </c>
      <c r="EJ509" s="1">
        <v>0</v>
      </c>
      <c r="EK509" s="1">
        <f>EF509+EG509+EH509-EI509-EJ509</f>
        <v>0</v>
      </c>
      <c r="EL509" s="1">
        <f>'10.2'!$E$30</f>
        <v>0</v>
      </c>
      <c r="EM509" s="1">
        <f>'10.2'!$E$30</f>
        <v>0</v>
      </c>
      <c r="EN509" s="1">
        <v>0</v>
      </c>
      <c r="EO509" s="1">
        <v>0</v>
      </c>
      <c r="EP509" s="1">
        <v>0</v>
      </c>
      <c r="EQ509" s="1">
        <f>EM509+EN509-EO509-EP509</f>
        <v>0</v>
      </c>
      <c r="ER509" s="1">
        <f>ED509-EK509-EQ509</f>
        <v>0</v>
      </c>
      <c r="ES509" s="1">
        <v>0</v>
      </c>
      <c r="ET509" s="1">
        <v>0</v>
      </c>
      <c r="EZ509" t="s">
        <v>170</v>
      </c>
      <c r="FA509" t="s">
        <v>199</v>
      </c>
    </row>
    <row r="510" spans="1:157" ht="29.45" thickBot="1">
      <c r="A510" s="6" t="s">
        <v>316</v>
      </c>
      <c r="B510" s="6"/>
      <c r="C510" s="1" t="s">
        <v>201</v>
      </c>
      <c r="CZ510" s="1"/>
      <c r="DS510" s="8">
        <f>DS508-DS509</f>
        <v>3046098.51</v>
      </c>
      <c r="ED510" s="8">
        <f>ED508-ED509</f>
        <v>3046098.51</v>
      </c>
      <c r="EE510" s="8">
        <f t="shared" ref="EE510:EF510" si="77">EE508-EE509</f>
        <v>148296.81</v>
      </c>
      <c r="EF510" s="8">
        <f t="shared" si="77"/>
        <v>148296.81</v>
      </c>
      <c r="EG510" s="8">
        <f>EG508-EG509</f>
        <v>599999.5</v>
      </c>
      <c r="EH510" s="8">
        <f t="shared" ref="EH510:EL510" si="78">EH508-EH509</f>
        <v>0</v>
      </c>
      <c r="EI510" s="8">
        <f t="shared" si="78"/>
        <v>0</v>
      </c>
      <c r="EJ510" s="8">
        <f t="shared" si="78"/>
        <v>0</v>
      </c>
      <c r="EK510" s="8">
        <f t="shared" si="78"/>
        <v>748296.31</v>
      </c>
      <c r="EL510" s="8">
        <f t="shared" si="78"/>
        <v>1714240.0399999996</v>
      </c>
      <c r="EM510" s="8">
        <f t="shared" ref="EM510:EQ510" si="79">EM508-EM509</f>
        <v>1714240.0399999996</v>
      </c>
      <c r="EN510" s="8">
        <f t="shared" si="79"/>
        <v>0</v>
      </c>
      <c r="EO510" s="8">
        <f t="shared" si="79"/>
        <v>0</v>
      </c>
      <c r="EP510" s="8">
        <f t="shared" si="79"/>
        <v>0</v>
      </c>
      <c r="EQ510" s="8">
        <f t="shared" si="79"/>
        <v>1714240.0399999996</v>
      </c>
      <c r="ER510" s="8">
        <f>ER508-ER509</f>
        <v>583562.16000000015</v>
      </c>
    </row>
    <row r="511" spans="1:157" ht="15" thickTop="1">
      <c r="A511" s="5"/>
      <c r="B511" s="5"/>
      <c r="C511" s="5"/>
    </row>
    <row r="512" spans="1:157">
      <c r="A512" s="9" t="s">
        <v>202</v>
      </c>
      <c r="B512" s="9"/>
      <c r="C512" s="9" t="s">
        <v>203</v>
      </c>
      <c r="D512" s="10" t="s">
        <v>204</v>
      </c>
      <c r="E512" s="10" t="s">
        <v>205</v>
      </c>
    </row>
    <row r="513" spans="1:157">
      <c r="A513" s="6" t="s">
        <v>271</v>
      </c>
      <c r="B513" s="9"/>
      <c r="C513" s="9"/>
      <c r="D513" s="10"/>
      <c r="E513" s="10"/>
    </row>
    <row r="514" spans="1:157">
      <c r="A514" s="6" t="s">
        <v>207</v>
      </c>
      <c r="B514" s="6"/>
      <c r="C514" s="11">
        <f>'10.2'!$C$28</f>
        <v>3046098.51</v>
      </c>
      <c r="D514" s="11">
        <f>'10.2'!$E$28</f>
        <v>0</v>
      </c>
      <c r="E514" s="11">
        <f>D514-C514</f>
        <v>-3046098.51</v>
      </c>
      <c r="G514" s="5"/>
    </row>
    <row r="515" spans="1:157">
      <c r="A515" s="6" t="s">
        <v>208</v>
      </c>
      <c r="B515" s="6"/>
      <c r="C515" s="11"/>
      <c r="D515" s="11"/>
      <c r="E515" s="11"/>
    </row>
    <row r="516" spans="1:157">
      <c r="A516" s="6" t="s">
        <v>314</v>
      </c>
      <c r="B516" s="6"/>
      <c r="C516" s="11"/>
      <c r="D516" s="11"/>
      <c r="E516" s="11"/>
    </row>
    <row r="517" spans="1:157">
      <c r="A517" s="6" t="s">
        <v>212</v>
      </c>
      <c r="B517" s="6"/>
      <c r="C517" s="11">
        <f>'10.2'!$C$29</f>
        <v>148296.81</v>
      </c>
      <c r="D517" s="11">
        <f>'10.2'!$E$29</f>
        <v>0</v>
      </c>
      <c r="E517" s="11">
        <f>C517-D517</f>
        <v>148296.81</v>
      </c>
    </row>
    <row r="518" spans="1:157">
      <c r="A518" s="6" t="s">
        <v>213</v>
      </c>
      <c r="B518" s="6"/>
      <c r="C518" s="11">
        <f>'10.2'!$C$35</f>
        <v>599999.5</v>
      </c>
      <c r="D518" s="11">
        <f>'10.2'!$E$35</f>
        <v>0</v>
      </c>
      <c r="E518" s="11">
        <f>C518-D518</f>
        <v>599999.5</v>
      </c>
    </row>
    <row r="519" spans="1:157">
      <c r="A519" s="6" t="s">
        <v>317</v>
      </c>
      <c r="B519" s="6"/>
      <c r="C519" s="11"/>
      <c r="D519" s="11"/>
      <c r="E519" s="11"/>
    </row>
    <row r="520" spans="1:157">
      <c r="A520" s="6" t="s">
        <v>318</v>
      </c>
      <c r="B520" s="6"/>
      <c r="C520" s="11">
        <f>'10.2'!$C$30</f>
        <v>1714240.0399999996</v>
      </c>
      <c r="D520" s="11">
        <f>'10.2'!$E$30</f>
        <v>0</v>
      </c>
      <c r="E520" s="11">
        <f>C520-D520</f>
        <v>1714240.0399999996</v>
      </c>
    </row>
    <row r="521" spans="1:157">
      <c r="A521" s="6" t="s">
        <v>319</v>
      </c>
      <c r="B521" s="6"/>
      <c r="C521" s="11"/>
      <c r="D521" s="11"/>
      <c r="E521" s="11"/>
    </row>
    <row r="522" spans="1:157">
      <c r="A522" s="6" t="s">
        <v>315</v>
      </c>
      <c r="B522" s="6"/>
      <c r="C522" s="11"/>
      <c r="D522" s="11">
        <f>-'10.2'!E23+'10.2'!E24+'10.2'!E25</f>
        <v>1190136.9900000002</v>
      </c>
      <c r="E522" s="11">
        <f>D522-C522</f>
        <v>1190136.9900000002</v>
      </c>
    </row>
    <row r="523" spans="1:157">
      <c r="A523" s="6" t="s">
        <v>254</v>
      </c>
      <c r="B523" s="6"/>
      <c r="C523" s="11">
        <f>'10.2'!$C$16+'10.2'!$C$21</f>
        <v>148296.81</v>
      </c>
      <c r="D523" s="11">
        <f>'10.2'!$E$16+'10.2'!$E$21</f>
        <v>141721.48000000001</v>
      </c>
      <c r="E523" s="11">
        <f>D523-C523</f>
        <v>-6575.3299999999872</v>
      </c>
    </row>
    <row r="524" spans="1:157">
      <c r="A524" s="6" t="s">
        <v>215</v>
      </c>
      <c r="B524" s="6"/>
      <c r="C524" s="11">
        <f>C518</f>
        <v>599999.5</v>
      </c>
      <c r="D524" s="11">
        <f>D518</f>
        <v>0</v>
      </c>
      <c r="E524" s="11">
        <f>D524-C524</f>
        <v>-599999.5</v>
      </c>
    </row>
    <row r="526" spans="1:157" ht="57.6">
      <c r="A526" s="6" t="s">
        <v>320</v>
      </c>
      <c r="C526" s="6" t="s">
        <v>163</v>
      </c>
      <c r="D526" t="s">
        <v>219</v>
      </c>
      <c r="E526">
        <v>0</v>
      </c>
      <c r="F526">
        <v>7424</v>
      </c>
      <c r="G526" t="s">
        <v>220</v>
      </c>
      <c r="H526" t="s">
        <v>221</v>
      </c>
      <c r="I526" t="s">
        <v>222</v>
      </c>
      <c r="K526" t="s">
        <v>222</v>
      </c>
      <c r="O526" t="s">
        <v>168</v>
      </c>
      <c r="P526" t="s">
        <v>169</v>
      </c>
      <c r="Q526" t="s">
        <v>170</v>
      </c>
      <c r="R526" t="s">
        <v>222</v>
      </c>
      <c r="S526" t="s">
        <v>171</v>
      </c>
      <c r="U526" t="s">
        <v>222</v>
      </c>
      <c r="V526" t="s">
        <v>222</v>
      </c>
      <c r="W526" t="s">
        <v>172</v>
      </c>
      <c r="X526" t="s">
        <v>173</v>
      </c>
      <c r="Y526" t="s">
        <v>174</v>
      </c>
      <c r="Z526" t="s">
        <v>223</v>
      </c>
      <c r="AA526" t="s">
        <v>224</v>
      </c>
      <c r="AB526" t="s">
        <v>176</v>
      </c>
      <c r="AC526" t="s">
        <v>177</v>
      </c>
      <c r="AD526" t="s">
        <v>178</v>
      </c>
      <c r="AE526" t="s">
        <v>179</v>
      </c>
      <c r="AF526" s="3">
        <v>45580</v>
      </c>
      <c r="AG526" s="3">
        <v>41456</v>
      </c>
      <c r="AH526" s="3">
        <v>45473</v>
      </c>
      <c r="AL526" s="14">
        <v>45838.958333333336</v>
      </c>
      <c r="AM526" s="3">
        <v>45473</v>
      </c>
      <c r="AN526" t="s">
        <v>180</v>
      </c>
      <c r="AP526" s="3">
        <v>45473</v>
      </c>
      <c r="AS526" t="s">
        <v>181</v>
      </c>
      <c r="AT526" t="s">
        <v>182</v>
      </c>
      <c r="AV526" t="s">
        <v>182</v>
      </c>
      <c r="AW526">
        <v>12164247</v>
      </c>
      <c r="AX526">
        <v>5378818.7800000003</v>
      </c>
      <c r="AY526">
        <v>0</v>
      </c>
      <c r="AZ526">
        <v>0</v>
      </c>
      <c r="BA526" t="s">
        <v>183</v>
      </c>
      <c r="BB526">
        <v>30</v>
      </c>
      <c r="BC526">
        <f>BB526*12</f>
        <v>360</v>
      </c>
      <c r="BD526">
        <v>10957.5</v>
      </c>
      <c r="BE526">
        <f>BG526/365</f>
        <v>13.158904109589042</v>
      </c>
      <c r="BF526">
        <f>BE526*12</f>
        <v>157.90684931506848</v>
      </c>
      <c r="BG526" s="16">
        <f>'2'!$C$40</f>
        <v>4803</v>
      </c>
      <c r="BI526" t="s">
        <v>225</v>
      </c>
      <c r="BN526">
        <v>1</v>
      </c>
      <c r="BO526">
        <v>0</v>
      </c>
      <c r="BP526">
        <v>0</v>
      </c>
      <c r="BY526" t="s">
        <v>185</v>
      </c>
      <c r="BZ526" t="s">
        <v>186</v>
      </c>
      <c r="CA526" t="s">
        <v>187</v>
      </c>
      <c r="CB526" t="s">
        <v>188</v>
      </c>
      <c r="CC526" t="s">
        <v>189</v>
      </c>
      <c r="CD526" t="s">
        <v>190</v>
      </c>
      <c r="CE526" t="s">
        <v>181</v>
      </c>
      <c r="CF526" t="s">
        <v>192</v>
      </c>
      <c r="CG526" t="s">
        <v>193</v>
      </c>
      <c r="CH526" t="s">
        <v>194</v>
      </c>
      <c r="CI526" t="s">
        <v>195</v>
      </c>
      <c r="CJ526" t="s">
        <v>196</v>
      </c>
      <c r="CK526" t="s">
        <v>197</v>
      </c>
      <c r="CN526" t="s">
        <v>198</v>
      </c>
      <c r="CU526">
        <v>-32.208987610000001</v>
      </c>
      <c r="CV526">
        <v>27.7945338</v>
      </c>
      <c r="CW526">
        <v>1162063.57</v>
      </c>
      <c r="CX526">
        <v>0</v>
      </c>
      <c r="CZ526" s="5"/>
      <c r="DA526" s="3">
        <v>45107</v>
      </c>
      <c r="DB526" s="5">
        <f>'2'!$C$9</f>
        <v>6143458.1699999981</v>
      </c>
      <c r="DC526" s="5">
        <f>'11.1'!$D$34</f>
        <v>5285712.17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f>DC526-DO526</f>
        <v>4912398.5199999996</v>
      </c>
      <c r="DL526" s="5">
        <v>0</v>
      </c>
      <c r="DM526" s="5">
        <v>0</v>
      </c>
      <c r="DN526" s="5">
        <f>'11.1'!$D$39</f>
        <v>373313.65</v>
      </c>
      <c r="DO526" s="5">
        <f>DM526+DN526</f>
        <v>373313.65</v>
      </c>
      <c r="DP526" s="5">
        <f>DK526</f>
        <v>4912398.5199999996</v>
      </c>
      <c r="DQ526" s="5" t="s">
        <v>187</v>
      </c>
      <c r="DR526" s="5">
        <f>'11.1'!$D$30</f>
        <v>12164247</v>
      </c>
      <c r="DS526" s="5">
        <f>'11.1'!$D$30</f>
        <v>12164247</v>
      </c>
      <c r="DT526" s="5">
        <v>0</v>
      </c>
      <c r="DU526" s="5">
        <v>1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12164247</v>
      </c>
      <c r="EE526" s="5">
        <f>'11.1'!$D$31</f>
        <v>6426382.120000002</v>
      </c>
      <c r="EF526" s="5">
        <f>'11.1'!$D$31</f>
        <v>6426382.120000002</v>
      </c>
      <c r="EG526" s="5">
        <f>'11.1'!$D$38</f>
        <v>405247.74</v>
      </c>
      <c r="EH526" s="5">
        <v>0</v>
      </c>
      <c r="EI526" s="5">
        <v>0</v>
      </c>
      <c r="EJ526" s="5">
        <v>0</v>
      </c>
      <c r="EK526" s="5">
        <f>EF526+EG526</f>
        <v>6831629.8600000022</v>
      </c>
      <c r="EL526" s="5">
        <v>0</v>
      </c>
      <c r="EM526" s="5">
        <v>0</v>
      </c>
      <c r="EN526" s="5">
        <v>0</v>
      </c>
      <c r="EO526" s="5">
        <v>0</v>
      </c>
      <c r="EP526" s="5">
        <v>0</v>
      </c>
      <c r="EQ526" s="5">
        <v>0</v>
      </c>
      <c r="ER526" s="5">
        <f>ED526-EK526</f>
        <v>5332617.1399999978</v>
      </c>
      <c r="ES526" s="5">
        <v>0</v>
      </c>
      <c r="ET526" s="5">
        <v>0</v>
      </c>
      <c r="EZ526" t="s">
        <v>170</v>
      </c>
      <c r="FA526" t="s">
        <v>226</v>
      </c>
    </row>
    <row r="527" spans="1:157" ht="57.6">
      <c r="A527" s="6" t="s">
        <v>320</v>
      </c>
      <c r="C527" s="6" t="s">
        <v>200</v>
      </c>
      <c r="D527" t="s">
        <v>219</v>
      </c>
      <c r="E527">
        <v>0</v>
      </c>
      <c r="F527">
        <v>7424</v>
      </c>
      <c r="G527" t="s">
        <v>220</v>
      </c>
      <c r="H527" t="s">
        <v>221</v>
      </c>
      <c r="I527" t="s">
        <v>222</v>
      </c>
      <c r="K527" t="s">
        <v>222</v>
      </c>
      <c r="O527" t="s">
        <v>168</v>
      </c>
      <c r="P527" t="s">
        <v>169</v>
      </c>
      <c r="Q527" t="s">
        <v>170</v>
      </c>
      <c r="R527" t="s">
        <v>222</v>
      </c>
      <c r="S527" t="s">
        <v>171</v>
      </c>
      <c r="U527" t="s">
        <v>222</v>
      </c>
      <c r="V527" t="s">
        <v>222</v>
      </c>
      <c r="W527" t="s">
        <v>172</v>
      </c>
      <c r="X527" t="s">
        <v>173</v>
      </c>
      <c r="Y527" t="s">
        <v>174</v>
      </c>
      <c r="Z527" t="s">
        <v>223</v>
      </c>
      <c r="AA527" t="s">
        <v>224</v>
      </c>
      <c r="AB527" t="s">
        <v>176</v>
      </c>
      <c r="AC527" t="s">
        <v>177</v>
      </c>
      <c r="AD527" t="s">
        <v>178</v>
      </c>
      <c r="AE527" t="s">
        <v>179</v>
      </c>
      <c r="AF527" s="3">
        <v>45580</v>
      </c>
      <c r="AG527" s="3">
        <v>41456</v>
      </c>
      <c r="AH527" s="3">
        <v>45473</v>
      </c>
      <c r="AI527" s="3">
        <v>45463</v>
      </c>
      <c r="AL527" s="14">
        <v>45838.958333333336</v>
      </c>
      <c r="AM527" s="3">
        <v>45473</v>
      </c>
      <c r="AN527" t="s">
        <v>180</v>
      </c>
      <c r="AP527" s="3">
        <v>45473</v>
      </c>
      <c r="AS527" t="s">
        <v>181</v>
      </c>
      <c r="AT527" t="s">
        <v>182</v>
      </c>
      <c r="AV527" t="s">
        <v>182</v>
      </c>
      <c r="AW527">
        <v>12164247</v>
      </c>
      <c r="AX527">
        <v>5378818.7800000003</v>
      </c>
      <c r="AY527">
        <v>0</v>
      </c>
      <c r="AZ527">
        <v>0</v>
      </c>
      <c r="BA527" t="s">
        <v>183</v>
      </c>
      <c r="BB527">
        <v>30</v>
      </c>
      <c r="BC527">
        <f>BB527*12</f>
        <v>360</v>
      </c>
      <c r="BD527">
        <v>10957.5</v>
      </c>
      <c r="BE527">
        <f>BG527/365</f>
        <v>13.158904109589042</v>
      </c>
      <c r="BF527">
        <f>BE527*12</f>
        <v>157.90684931506848</v>
      </c>
      <c r="BG527" s="16">
        <f>'2'!$D$40</f>
        <v>4803</v>
      </c>
      <c r="BI527" t="s">
        <v>225</v>
      </c>
      <c r="BN527">
        <v>1</v>
      </c>
      <c r="BO527">
        <v>0</v>
      </c>
      <c r="BP527">
        <v>0</v>
      </c>
      <c r="BY527" t="s">
        <v>185</v>
      </c>
      <c r="BZ527" t="s">
        <v>186</v>
      </c>
      <c r="CA527" t="s">
        <v>187</v>
      </c>
      <c r="CB527" t="s">
        <v>188</v>
      </c>
      <c r="CC527" t="s">
        <v>189</v>
      </c>
      <c r="CD527" t="s">
        <v>190</v>
      </c>
      <c r="CE527" t="s">
        <v>181</v>
      </c>
      <c r="CF527" t="s">
        <v>192</v>
      </c>
      <c r="CG527" t="s">
        <v>193</v>
      </c>
      <c r="CH527" t="s">
        <v>194</v>
      </c>
      <c r="CI527" t="s">
        <v>195</v>
      </c>
      <c r="CJ527" t="s">
        <v>196</v>
      </c>
      <c r="CK527" t="s">
        <v>197</v>
      </c>
      <c r="CN527" t="s">
        <v>198</v>
      </c>
      <c r="CU527">
        <v>-32.208987610000001</v>
      </c>
      <c r="CV527">
        <v>27.7945338</v>
      </c>
      <c r="CW527">
        <v>1162063.57</v>
      </c>
      <c r="CX527">
        <v>0</v>
      </c>
      <c r="CZ527" s="5"/>
      <c r="DA527" s="3">
        <v>45107</v>
      </c>
      <c r="DB527" s="5">
        <f>'2'!$D$9</f>
        <v>7500500</v>
      </c>
      <c r="DC527" s="5">
        <f>'11.1'!$E$34</f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f>DC527-DO527</f>
        <v>0</v>
      </c>
      <c r="DL527" s="5">
        <v>0</v>
      </c>
      <c r="DM527" s="5">
        <v>0</v>
      </c>
      <c r="DN527" s="5">
        <f>'11.1'!$E$39</f>
        <v>0</v>
      </c>
      <c r="DO527" s="5">
        <f>DM527+DN527</f>
        <v>0</v>
      </c>
      <c r="DP527" s="5">
        <f>DK527</f>
        <v>0</v>
      </c>
      <c r="DQ527" s="5" t="s">
        <v>187</v>
      </c>
      <c r="DR527" s="5">
        <f>'11.1'!$E$30</f>
        <v>0</v>
      </c>
      <c r="DS527" s="5">
        <f>'11.1'!$E$30</f>
        <v>0</v>
      </c>
      <c r="DT527" s="5">
        <v>0</v>
      </c>
      <c r="DU527" s="5">
        <v>1</v>
      </c>
      <c r="DV527" s="5">
        <v>0</v>
      </c>
      <c r="DW527" s="5">
        <v>0</v>
      </c>
      <c r="DX527" s="5">
        <v>0</v>
      </c>
      <c r="DY527" s="5">
        <v>0</v>
      </c>
      <c r="DZ527" s="5">
        <v>0</v>
      </c>
      <c r="EA527" s="5">
        <v>0</v>
      </c>
      <c r="EB527" s="5">
        <v>0</v>
      </c>
      <c r="EC527" s="5">
        <v>0</v>
      </c>
      <c r="ED527" s="5">
        <f>DS527</f>
        <v>0</v>
      </c>
      <c r="EE527" s="5">
        <f>'11.1'!$E$31</f>
        <v>0</v>
      </c>
      <c r="EF527" s="5">
        <f>'11.1'!$E$31</f>
        <v>0</v>
      </c>
      <c r="EG527" s="5">
        <f>'11.1'!$E$38</f>
        <v>0</v>
      </c>
      <c r="EH527" s="5">
        <v>0</v>
      </c>
      <c r="EI527" s="5">
        <v>0</v>
      </c>
      <c r="EJ527" s="5">
        <v>0</v>
      </c>
      <c r="EK527" s="5">
        <f>EF527+EG527</f>
        <v>0</v>
      </c>
      <c r="EL527" s="5">
        <v>0</v>
      </c>
      <c r="EM527" s="5">
        <v>0</v>
      </c>
      <c r="EN527" s="5">
        <v>0</v>
      </c>
      <c r="EO527" s="5">
        <v>0</v>
      </c>
      <c r="EP527" s="5">
        <v>0</v>
      </c>
      <c r="EQ527" s="5">
        <v>0</v>
      </c>
      <c r="ER527" s="5">
        <f>ED527-EK527</f>
        <v>0</v>
      </c>
      <c r="ES527" s="5">
        <v>0</v>
      </c>
      <c r="ET527" s="5">
        <v>0</v>
      </c>
      <c r="EZ527" t="s">
        <v>170</v>
      </c>
      <c r="FA527" t="s">
        <v>226</v>
      </c>
    </row>
    <row r="528" spans="1:157">
      <c r="D528" s="3"/>
    </row>
    <row r="529" spans="1:148" ht="15" thickBot="1">
      <c r="A529" s="6" t="s">
        <v>227</v>
      </c>
      <c r="B529" s="15">
        <v>-5660048.5999999996</v>
      </c>
      <c r="C529" s="3"/>
      <c r="D529" s="3"/>
      <c r="DC529" s="8">
        <f>DC526-DC527</f>
        <v>5285712.17</v>
      </c>
      <c r="DD529" s="8">
        <f t="shared" ref="DD529:DP529" si="80">DD526-DD527</f>
        <v>0</v>
      </c>
      <c r="DE529" s="8">
        <f t="shared" si="80"/>
        <v>0</v>
      </c>
      <c r="DF529" s="8">
        <f t="shared" si="80"/>
        <v>0</v>
      </c>
      <c r="DG529" s="8">
        <f t="shared" si="80"/>
        <v>0</v>
      </c>
      <c r="DH529" s="8">
        <f t="shared" si="80"/>
        <v>0</v>
      </c>
      <c r="DI529" s="8">
        <f t="shared" si="80"/>
        <v>0</v>
      </c>
      <c r="DJ529" s="8">
        <f t="shared" si="80"/>
        <v>0</v>
      </c>
      <c r="DK529" s="8">
        <f t="shared" si="80"/>
        <v>4912398.5199999996</v>
      </c>
      <c r="DL529" s="8">
        <f t="shared" si="80"/>
        <v>0</v>
      </c>
      <c r="DM529" s="8">
        <f t="shared" si="80"/>
        <v>0</v>
      </c>
      <c r="DN529" s="8">
        <f t="shared" si="80"/>
        <v>373313.65</v>
      </c>
      <c r="DO529" s="8">
        <f t="shared" si="80"/>
        <v>373313.65</v>
      </c>
      <c r="DP529" s="8">
        <f t="shared" si="80"/>
        <v>4912398.5199999996</v>
      </c>
      <c r="DR529" s="8">
        <f t="shared" ref="DR529:ED529" si="81">DR526-DR527</f>
        <v>12164247</v>
      </c>
      <c r="DS529" s="8">
        <f t="shared" si="81"/>
        <v>12164247</v>
      </c>
      <c r="DT529" s="8">
        <f t="shared" si="81"/>
        <v>0</v>
      </c>
      <c r="DU529" s="8">
        <f t="shared" si="81"/>
        <v>0</v>
      </c>
      <c r="DV529" s="8">
        <f t="shared" si="81"/>
        <v>0</v>
      </c>
      <c r="DW529" s="8">
        <f t="shared" si="81"/>
        <v>0</v>
      </c>
      <c r="DX529" s="8">
        <f t="shared" si="81"/>
        <v>0</v>
      </c>
      <c r="DY529" s="8">
        <f t="shared" si="81"/>
        <v>0</v>
      </c>
      <c r="DZ529" s="8">
        <f t="shared" si="81"/>
        <v>0</v>
      </c>
      <c r="EA529" s="8">
        <f t="shared" si="81"/>
        <v>0</v>
      </c>
      <c r="EB529" s="8">
        <f t="shared" si="81"/>
        <v>0</v>
      </c>
      <c r="EC529" s="8">
        <f t="shared" si="81"/>
        <v>0</v>
      </c>
      <c r="ED529" s="8">
        <f t="shared" si="81"/>
        <v>12164247</v>
      </c>
      <c r="EF529" s="8">
        <f t="shared" ref="EF529:EK529" si="82">EF526-EF527</f>
        <v>6426382.120000002</v>
      </c>
      <c r="EG529" s="8">
        <f t="shared" si="82"/>
        <v>405247.74</v>
      </c>
      <c r="EH529" s="8">
        <f t="shared" si="82"/>
        <v>0</v>
      </c>
      <c r="EI529" s="8">
        <f t="shared" si="82"/>
        <v>0</v>
      </c>
      <c r="EJ529" s="8">
        <f t="shared" si="82"/>
        <v>0</v>
      </c>
      <c r="EK529" s="8">
        <f t="shared" si="82"/>
        <v>6831629.8600000022</v>
      </c>
      <c r="ER529" s="8">
        <f t="shared" ref="ER529" si="83">ER526-ER527</f>
        <v>5332617.1399999978</v>
      </c>
    </row>
    <row r="530" spans="1:148" ht="15" thickTop="1">
      <c r="A530" s="6" t="s">
        <v>228</v>
      </c>
      <c r="B530" s="15">
        <v>12164247</v>
      </c>
      <c r="D530" s="3"/>
      <c r="E530" s="5"/>
      <c r="F530" s="5"/>
    </row>
    <row r="531" spans="1:148">
      <c r="A531" s="6" t="s">
        <v>229</v>
      </c>
      <c r="B531" s="15">
        <v>6020788.8300000019</v>
      </c>
      <c r="C531" s="15"/>
      <c r="D531" s="1"/>
      <c r="E531" s="5"/>
      <c r="F531" s="5"/>
    </row>
    <row r="532" spans="1:148">
      <c r="A532" s="6" t="s">
        <v>230</v>
      </c>
      <c r="B532" s="17">
        <v>10957.5</v>
      </c>
      <c r="C532" s="5">
        <f>B530-B531</f>
        <v>6143458.1699999981</v>
      </c>
      <c r="D532" s="5">
        <f>ROUND(C532/5534*10957.5,2)</f>
        <v>12164247</v>
      </c>
      <c r="E532" s="5">
        <f>D532-C532</f>
        <v>6020788.8300000019</v>
      </c>
      <c r="F532" s="5">
        <f>-B529+F531</f>
        <v>5660048.5999999996</v>
      </c>
    </row>
    <row r="533" spans="1:148">
      <c r="A533" s="6" t="s">
        <v>231</v>
      </c>
      <c r="B533" s="16">
        <v>5534</v>
      </c>
      <c r="E533" s="5"/>
    </row>
    <row r="534" spans="1:148">
      <c r="A534" s="6" t="s">
        <v>232</v>
      </c>
      <c r="B534" s="5">
        <v>4318557.7399999984</v>
      </c>
      <c r="E534" s="5"/>
    </row>
    <row r="535" spans="1:148">
      <c r="A535" s="6" t="s">
        <v>233</v>
      </c>
      <c r="B535" s="5">
        <v>-3835148.1699999995</v>
      </c>
      <c r="E535" s="5"/>
    </row>
    <row r="536" spans="1:148">
      <c r="A536" s="6" t="s">
        <v>234</v>
      </c>
      <c r="B536" s="5">
        <f>C532-B534</f>
        <v>1824900.4299999997</v>
      </c>
      <c r="E536" s="5"/>
    </row>
    <row r="537" spans="1:148">
      <c r="A537" s="6" t="s">
        <v>235</v>
      </c>
      <c r="B537" s="5">
        <f>B529-B535</f>
        <v>-1824900.4300000002</v>
      </c>
      <c r="E537" s="5"/>
    </row>
    <row r="538" spans="1:148">
      <c r="B538" s="5"/>
      <c r="E538" s="5"/>
    </row>
    <row r="539" spans="1:148">
      <c r="A539" s="9" t="s">
        <v>202</v>
      </c>
      <c r="C539" s="9" t="s">
        <v>203</v>
      </c>
      <c r="D539" s="10" t="s">
        <v>204</v>
      </c>
      <c r="E539" s="10" t="s">
        <v>205</v>
      </c>
    </row>
    <row r="540" spans="1:148">
      <c r="A540" s="6" t="s">
        <v>271</v>
      </c>
      <c r="C540" s="11"/>
      <c r="D540" s="11"/>
      <c r="E540" s="11"/>
    </row>
    <row r="541" spans="1:148">
      <c r="A541" s="6" t="s">
        <v>207</v>
      </c>
      <c r="C541" s="11">
        <f>'11.1'!$D$30</f>
        <v>12164247</v>
      </c>
      <c r="D541" s="11">
        <f>'11.1'!$E$30</f>
        <v>0</v>
      </c>
      <c r="E541" s="11">
        <f>D541-C541</f>
        <v>-12164247</v>
      </c>
    </row>
    <row r="542" spans="1:148">
      <c r="A542" s="6" t="s">
        <v>208</v>
      </c>
      <c r="C542" s="11"/>
      <c r="D542" s="11"/>
      <c r="E542" s="11"/>
    </row>
    <row r="543" spans="1:148">
      <c r="A543" s="6" t="s">
        <v>314</v>
      </c>
      <c r="C543" s="11"/>
      <c r="D543" s="11"/>
      <c r="E543" s="11"/>
    </row>
    <row r="544" spans="1:148">
      <c r="A544" s="6" t="s">
        <v>212</v>
      </c>
      <c r="C544" s="11">
        <f>'11.1'!$D$31</f>
        <v>6426382.120000002</v>
      </c>
      <c r="D544" s="11">
        <f>'11.1'!$E$31</f>
        <v>0</v>
      </c>
      <c r="E544" s="11">
        <f>C544-D544</f>
        <v>6426382.120000002</v>
      </c>
    </row>
    <row r="545" spans="1:157">
      <c r="A545" s="6" t="s">
        <v>213</v>
      </c>
      <c r="C545" s="11">
        <f>'11.1'!$D$38</f>
        <v>405247.74</v>
      </c>
      <c r="D545" s="11">
        <f>'11.1'!$E$38</f>
        <v>0</v>
      </c>
      <c r="E545" s="11">
        <f>C545-D545</f>
        <v>405247.74</v>
      </c>
    </row>
    <row r="546" spans="1:157">
      <c r="A546" s="6" t="s">
        <v>315</v>
      </c>
      <c r="C546" s="11">
        <f>-'11.1'!$D$22+'11.1'!$D$23</f>
        <v>0</v>
      </c>
      <c r="D546" s="11">
        <f>-'11.1'!$E$22+'11.1'!$E$23</f>
        <v>5748252.0299999984</v>
      </c>
      <c r="E546" s="11">
        <f>D546-C546</f>
        <v>5748252.0299999984</v>
      </c>
    </row>
    <row r="547" spans="1:157">
      <c r="A547" s="6" t="s">
        <v>254</v>
      </c>
      <c r="C547" s="11">
        <f>'11.1'!$D$19+'11.1'!$D$26</f>
        <v>405593.29000000004</v>
      </c>
      <c r="D547" s="11">
        <f>'11.1'!$E$19+'11.1'!$E$26</f>
        <v>395206.14</v>
      </c>
      <c r="E547" s="11">
        <f>D547-C547</f>
        <v>-10387.150000000023</v>
      </c>
    </row>
    <row r="548" spans="1:157">
      <c r="A548" s="6" t="s">
        <v>215</v>
      </c>
      <c r="C548" s="11">
        <f>'11.1'!$D$38</f>
        <v>405247.74</v>
      </c>
      <c r="D548" s="11">
        <f>'11.1'!$E$38</f>
        <v>0</v>
      </c>
      <c r="E548" s="11">
        <f>D548-C548</f>
        <v>-405247.74</v>
      </c>
    </row>
    <row r="549" spans="1:157">
      <c r="A549" s="6" t="s">
        <v>321</v>
      </c>
      <c r="C549" s="11"/>
      <c r="D549" s="11"/>
      <c r="E549" s="11"/>
    </row>
    <row r="550" spans="1:157">
      <c r="A550" s="6" t="s">
        <v>322</v>
      </c>
      <c r="C550" s="11">
        <f>'11.1'!$D$34</f>
        <v>5285712.17</v>
      </c>
      <c r="D550" s="11">
        <f>'11.1'!$E$34</f>
        <v>0</v>
      </c>
      <c r="E550" s="11">
        <f>C550-D550</f>
        <v>5285712.17</v>
      </c>
    </row>
    <row r="551" spans="1:157">
      <c r="A551" s="6" t="s">
        <v>323</v>
      </c>
      <c r="C551" s="11">
        <f>'11.1'!$D$39</f>
        <v>373313.65</v>
      </c>
      <c r="D551" s="11">
        <f>'11.1'!$E$39</f>
        <v>0</v>
      </c>
      <c r="E551" s="11">
        <f>C551-D551</f>
        <v>373313.65</v>
      </c>
    </row>
    <row r="552" spans="1:157">
      <c r="A552" s="6" t="s">
        <v>324</v>
      </c>
      <c r="C552" s="11">
        <f>'11.1'!$D$20+'11.1'!$D$27</f>
        <v>374336.43</v>
      </c>
      <c r="D552" s="11">
        <f>'11.1'!$E$20+'11.1'!$E$27</f>
        <v>364108.66</v>
      </c>
      <c r="E552" s="11">
        <f>C552-D552</f>
        <v>10227.770000000019</v>
      </c>
    </row>
    <row r="553" spans="1:157">
      <c r="A553" s="6" t="s">
        <v>325</v>
      </c>
      <c r="C553" s="11">
        <f>-'11.1'!$D$24</f>
        <v>0</v>
      </c>
      <c r="D553" s="11">
        <f>-'11.1'!$E$24</f>
        <v>5295939.9399999995</v>
      </c>
      <c r="E553" s="11">
        <f>C553-D553</f>
        <v>-5295939.9399999995</v>
      </c>
    </row>
    <row r="554" spans="1:157">
      <c r="A554" s="6" t="s">
        <v>326</v>
      </c>
      <c r="C554" s="11">
        <f>'11.1'!$D$39</f>
        <v>373313.65</v>
      </c>
      <c r="D554" s="11">
        <f>'11.1'!$E$39</f>
        <v>0</v>
      </c>
      <c r="E554" s="11">
        <f>D554-C554</f>
        <v>-373313.65</v>
      </c>
    </row>
    <row r="556" spans="1:157" ht="72">
      <c r="A556" s="6" t="s">
        <v>327</v>
      </c>
      <c r="C556" s="6" t="s">
        <v>163</v>
      </c>
      <c r="D556" t="s">
        <v>219</v>
      </c>
      <c r="E556">
        <v>0</v>
      </c>
      <c r="F556">
        <v>7424</v>
      </c>
      <c r="G556" t="s">
        <v>220</v>
      </c>
      <c r="H556" t="s">
        <v>221</v>
      </c>
      <c r="I556" t="s">
        <v>222</v>
      </c>
      <c r="K556" t="s">
        <v>222</v>
      </c>
      <c r="O556" t="s">
        <v>168</v>
      </c>
      <c r="P556" t="s">
        <v>169</v>
      </c>
      <c r="Q556" t="s">
        <v>170</v>
      </c>
      <c r="R556" t="s">
        <v>222</v>
      </c>
      <c r="S556" t="s">
        <v>171</v>
      </c>
      <c r="U556" t="s">
        <v>222</v>
      </c>
      <c r="V556" t="s">
        <v>222</v>
      </c>
      <c r="W556" t="s">
        <v>172</v>
      </c>
      <c r="X556" t="s">
        <v>173</v>
      </c>
      <c r="Y556" t="s">
        <v>174</v>
      </c>
      <c r="Z556" t="s">
        <v>223</v>
      </c>
      <c r="AA556" t="s">
        <v>224</v>
      </c>
      <c r="AB556" t="s">
        <v>176</v>
      </c>
      <c r="AC556" t="s">
        <v>177</v>
      </c>
      <c r="AD556" t="s">
        <v>178</v>
      </c>
      <c r="AE556" t="s">
        <v>179</v>
      </c>
      <c r="AF556" s="3">
        <v>45580</v>
      </c>
      <c r="AG556" s="3">
        <v>41456</v>
      </c>
      <c r="AH556" s="3">
        <v>45473</v>
      </c>
      <c r="AL556" s="14">
        <v>45838.958333333336</v>
      </c>
      <c r="AM556" s="3">
        <v>45473</v>
      </c>
      <c r="AN556" t="s">
        <v>180</v>
      </c>
      <c r="AP556" s="3">
        <v>45473</v>
      </c>
      <c r="AS556" t="s">
        <v>181</v>
      </c>
      <c r="AT556" t="s">
        <v>182</v>
      </c>
      <c r="AV556" t="s">
        <v>182</v>
      </c>
      <c r="AW556">
        <v>12164247</v>
      </c>
      <c r="AX556">
        <v>5378818.7800000003</v>
      </c>
      <c r="AY556">
        <v>0</v>
      </c>
      <c r="AZ556">
        <v>0</v>
      </c>
      <c r="BA556" t="s">
        <v>183</v>
      </c>
      <c r="BB556">
        <v>30</v>
      </c>
      <c r="BC556">
        <f>BB556*12</f>
        <v>360</v>
      </c>
      <c r="BD556">
        <v>10957.5</v>
      </c>
      <c r="BE556">
        <f>BG556/365</f>
        <v>13.158904109589042</v>
      </c>
      <c r="BF556">
        <f>BE556*12</f>
        <v>157.90684931506848</v>
      </c>
      <c r="BG556" s="16">
        <f>'2'!$C$40</f>
        <v>4803</v>
      </c>
      <c r="BI556" t="s">
        <v>225</v>
      </c>
      <c r="BN556">
        <v>1</v>
      </c>
      <c r="BO556">
        <v>0</v>
      </c>
      <c r="BP556">
        <v>0</v>
      </c>
      <c r="BY556" t="s">
        <v>185</v>
      </c>
      <c r="BZ556" t="s">
        <v>186</v>
      </c>
      <c r="CA556" t="s">
        <v>187</v>
      </c>
      <c r="CB556" t="s">
        <v>188</v>
      </c>
      <c r="CC556" t="s">
        <v>189</v>
      </c>
      <c r="CD556" t="s">
        <v>190</v>
      </c>
      <c r="CE556" t="s">
        <v>181</v>
      </c>
      <c r="CF556" t="s">
        <v>192</v>
      </c>
      <c r="CG556" t="s">
        <v>193</v>
      </c>
      <c r="CH556" t="s">
        <v>194</v>
      </c>
      <c r="CI556" t="s">
        <v>195</v>
      </c>
      <c r="CJ556" t="s">
        <v>196</v>
      </c>
      <c r="CK556" t="s">
        <v>197</v>
      </c>
      <c r="CN556" t="s">
        <v>198</v>
      </c>
      <c r="CU556">
        <v>-32.208987610000001</v>
      </c>
      <c r="CV556">
        <v>27.7945338</v>
      </c>
      <c r="CW556">
        <v>1162063.57</v>
      </c>
      <c r="CX556">
        <v>0</v>
      </c>
      <c r="CZ556" s="5"/>
      <c r="DA556" s="3">
        <v>45107</v>
      </c>
      <c r="DB556" s="5">
        <f>'2'!$C$9</f>
        <v>6143458.1699999981</v>
      </c>
      <c r="DC556" s="5">
        <f>'11.2'!$E$40</f>
        <v>2536065.2500000009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f>DC556-DO556</f>
        <v>2111838.0200000009</v>
      </c>
      <c r="DL556" s="5">
        <v>0</v>
      </c>
      <c r="DM556" s="5">
        <v>0</v>
      </c>
      <c r="DN556" s="5">
        <f>'11.2'!$E$45</f>
        <v>424227.23</v>
      </c>
      <c r="DO556" s="5">
        <f>DM556+DN556</f>
        <v>424227.23</v>
      </c>
      <c r="DP556" s="5">
        <f>DK556</f>
        <v>2111838.0200000009</v>
      </c>
      <c r="DQ556" s="5" t="s">
        <v>187</v>
      </c>
      <c r="DR556" s="5">
        <f>'11.2'!$E$36</f>
        <v>12164247</v>
      </c>
      <c r="DS556" s="5">
        <f>'11.2'!$E$36</f>
        <v>12164247</v>
      </c>
      <c r="DT556" s="5">
        <v>0</v>
      </c>
      <c r="DU556" s="5">
        <v>1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12164247</v>
      </c>
      <c r="EE556" s="5">
        <f>'11.2'!$E$37</f>
        <v>6429681.1000000015</v>
      </c>
      <c r="EF556" s="5">
        <f>'11.2'!$E$37</f>
        <v>6429681.1000000015</v>
      </c>
      <c r="EG556" s="5">
        <f>'11.2'!$E$44</f>
        <v>499543.63</v>
      </c>
      <c r="EH556" s="5">
        <v>0</v>
      </c>
      <c r="EI556" s="5">
        <v>0</v>
      </c>
      <c r="EJ556" s="5">
        <v>0</v>
      </c>
      <c r="EK556" s="5">
        <f>EF556+EG556</f>
        <v>6929224.7300000014</v>
      </c>
      <c r="EL556" s="5">
        <f>'11.2'!$E$38</f>
        <v>2748252.0299999984</v>
      </c>
      <c r="EM556" s="5">
        <f>'11.2'!$E$38</f>
        <v>2748252.0299999984</v>
      </c>
      <c r="EN556" s="5">
        <v>0</v>
      </c>
      <c r="EO556" s="5">
        <v>0</v>
      </c>
      <c r="EP556" s="5">
        <v>0</v>
      </c>
      <c r="EQ556" s="5">
        <f>EM556+EN556</f>
        <v>2748252.0299999984</v>
      </c>
      <c r="ER556" s="5">
        <f>ED556-EK556-EQ556</f>
        <v>2486770.2400000002</v>
      </c>
      <c r="ES556" s="5">
        <v>0</v>
      </c>
      <c r="ET556" s="5">
        <v>0</v>
      </c>
      <c r="EZ556" t="s">
        <v>170</v>
      </c>
      <c r="FA556" t="s">
        <v>226</v>
      </c>
    </row>
    <row r="557" spans="1:157" ht="72">
      <c r="A557" s="6" t="s">
        <v>327</v>
      </c>
      <c r="C557" s="6" t="s">
        <v>200</v>
      </c>
      <c r="D557" t="s">
        <v>219</v>
      </c>
      <c r="E557">
        <v>0</v>
      </c>
      <c r="F557">
        <v>7424</v>
      </c>
      <c r="G557" t="s">
        <v>220</v>
      </c>
      <c r="H557" t="s">
        <v>221</v>
      </c>
      <c r="I557" t="s">
        <v>222</v>
      </c>
      <c r="K557" t="s">
        <v>222</v>
      </c>
      <c r="O557" t="s">
        <v>168</v>
      </c>
      <c r="P557" t="s">
        <v>169</v>
      </c>
      <c r="Q557" t="s">
        <v>170</v>
      </c>
      <c r="R557" t="s">
        <v>222</v>
      </c>
      <c r="S557" t="s">
        <v>171</v>
      </c>
      <c r="U557" t="s">
        <v>222</v>
      </c>
      <c r="V557" t="s">
        <v>222</v>
      </c>
      <c r="W557" t="s">
        <v>172</v>
      </c>
      <c r="X557" t="s">
        <v>173</v>
      </c>
      <c r="Y557" t="s">
        <v>174</v>
      </c>
      <c r="Z557" t="s">
        <v>223</v>
      </c>
      <c r="AA557" t="s">
        <v>224</v>
      </c>
      <c r="AB557" t="s">
        <v>176</v>
      </c>
      <c r="AC557" t="s">
        <v>177</v>
      </c>
      <c r="AD557" t="s">
        <v>178</v>
      </c>
      <c r="AE557" t="s">
        <v>179</v>
      </c>
      <c r="AF557" s="3">
        <v>45580</v>
      </c>
      <c r="AG557" s="3">
        <v>41456</v>
      </c>
      <c r="AH557" s="3">
        <v>45473</v>
      </c>
      <c r="AI557" s="3">
        <v>45468</v>
      </c>
      <c r="AL557" s="14">
        <v>45838.958333333336</v>
      </c>
      <c r="AM557" s="3">
        <v>45473</v>
      </c>
      <c r="AN557" t="s">
        <v>180</v>
      </c>
      <c r="AP557" s="3">
        <v>45473</v>
      </c>
      <c r="AS557" t="s">
        <v>181</v>
      </c>
      <c r="AT557" t="s">
        <v>182</v>
      </c>
      <c r="AV557" t="s">
        <v>182</v>
      </c>
      <c r="AW557">
        <v>12164247</v>
      </c>
      <c r="AX557">
        <v>5378818.7800000003</v>
      </c>
      <c r="AY557">
        <v>0</v>
      </c>
      <c r="AZ557">
        <v>0</v>
      </c>
      <c r="BA557" t="s">
        <v>183</v>
      </c>
      <c r="BB557">
        <v>30</v>
      </c>
      <c r="BC557">
        <f>BB557*12</f>
        <v>360</v>
      </c>
      <c r="BD557">
        <v>10957.5</v>
      </c>
      <c r="BE557">
        <f>BG557/365</f>
        <v>13.158904109589042</v>
      </c>
      <c r="BF557">
        <f>BE557*12</f>
        <v>157.90684931506848</v>
      </c>
      <c r="BG557" s="16">
        <f>'2'!$D$40</f>
        <v>4803</v>
      </c>
      <c r="BI557" t="s">
        <v>225</v>
      </c>
      <c r="BN557">
        <v>1</v>
      </c>
      <c r="BO557">
        <v>0</v>
      </c>
      <c r="BP557">
        <v>0</v>
      </c>
      <c r="BY557" t="s">
        <v>185</v>
      </c>
      <c r="BZ557" t="s">
        <v>186</v>
      </c>
      <c r="CA557" t="s">
        <v>187</v>
      </c>
      <c r="CB557" t="s">
        <v>188</v>
      </c>
      <c r="CC557" t="s">
        <v>189</v>
      </c>
      <c r="CD557" t="s">
        <v>190</v>
      </c>
      <c r="CE557" t="s">
        <v>181</v>
      </c>
      <c r="CF557" t="s">
        <v>192</v>
      </c>
      <c r="CG557" t="s">
        <v>193</v>
      </c>
      <c r="CH557" t="s">
        <v>194</v>
      </c>
      <c r="CI557" t="s">
        <v>195</v>
      </c>
      <c r="CJ557" t="s">
        <v>196</v>
      </c>
      <c r="CK557" t="s">
        <v>197</v>
      </c>
      <c r="CN557" t="s">
        <v>198</v>
      </c>
      <c r="CU557">
        <v>-32.208987610000001</v>
      </c>
      <c r="CV557">
        <v>27.7945338</v>
      </c>
      <c r="CW557">
        <v>1162063.57</v>
      </c>
      <c r="CX557">
        <v>0</v>
      </c>
      <c r="CZ557" s="5"/>
      <c r="DA557" s="3">
        <v>45107</v>
      </c>
      <c r="DB557" s="5">
        <f>'2'!$D$9</f>
        <v>7500500</v>
      </c>
      <c r="DC557" s="5">
        <f>'11.2'!$F$40</f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f>DC557-DO557</f>
        <v>0</v>
      </c>
      <c r="DL557" s="5">
        <v>0</v>
      </c>
      <c r="DM557" s="5">
        <v>0</v>
      </c>
      <c r="DN557" s="5">
        <f>'11.2'!$F$45</f>
        <v>0</v>
      </c>
      <c r="DO557" s="5">
        <f>DM557+DN557</f>
        <v>0</v>
      </c>
      <c r="DP557" s="5">
        <f>DK557</f>
        <v>0</v>
      </c>
      <c r="DQ557" s="5" t="s">
        <v>187</v>
      </c>
      <c r="DR557" s="5">
        <f>'11.2'!$F$36</f>
        <v>0</v>
      </c>
      <c r="DS557" s="5">
        <f>'11.2'!$F$36</f>
        <v>0</v>
      </c>
      <c r="DT557" s="5">
        <v>0</v>
      </c>
      <c r="DU557" s="5">
        <v>1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f>DS557</f>
        <v>0</v>
      </c>
      <c r="EE557" s="5">
        <f>'11.2'!$F$37</f>
        <v>0</v>
      </c>
      <c r="EF557" s="5">
        <f>'11.2'!$F$37</f>
        <v>0</v>
      </c>
      <c r="EG557" s="5">
        <f>'11.2'!$F$44</f>
        <v>0</v>
      </c>
      <c r="EH557" s="5">
        <v>0</v>
      </c>
      <c r="EI557" s="5">
        <v>0</v>
      </c>
      <c r="EJ557" s="5">
        <v>0</v>
      </c>
      <c r="EK557" s="5">
        <f>EF557+EG557</f>
        <v>0</v>
      </c>
      <c r="EL557" s="5">
        <f>'11.2'!$F$38</f>
        <v>0</v>
      </c>
      <c r="EM557" s="5">
        <f>'11.2'!$F$38</f>
        <v>0</v>
      </c>
      <c r="EN557" s="5">
        <v>0</v>
      </c>
      <c r="EO557" s="5">
        <v>0</v>
      </c>
      <c r="EP557" s="5">
        <v>0</v>
      </c>
      <c r="EQ557" s="5">
        <f>EM557+EN557</f>
        <v>0</v>
      </c>
      <c r="ER557" s="5">
        <f>ED557-EK557-EQ557</f>
        <v>0</v>
      </c>
      <c r="ES557" s="5">
        <v>0</v>
      </c>
      <c r="ET557" s="5">
        <v>0</v>
      </c>
      <c r="EZ557" t="s">
        <v>170</v>
      </c>
      <c r="FA557" t="s">
        <v>226</v>
      </c>
    </row>
    <row r="558" spans="1:157">
      <c r="D558" s="3"/>
    </row>
    <row r="559" spans="1:157" ht="15" thickBot="1">
      <c r="A559" s="6" t="s">
        <v>227</v>
      </c>
      <c r="B559" s="15">
        <v>-5660048.5999999996</v>
      </c>
      <c r="C559" s="3"/>
      <c r="D559" s="3"/>
      <c r="DC559" s="8">
        <f>DC556-DC557</f>
        <v>2536065.2500000009</v>
      </c>
      <c r="DD559" s="8">
        <f t="shared" ref="DD559:DP559" si="84">DD556-DD557</f>
        <v>0</v>
      </c>
      <c r="DE559" s="8">
        <f t="shared" si="84"/>
        <v>0</v>
      </c>
      <c r="DF559" s="8">
        <f t="shared" si="84"/>
        <v>0</v>
      </c>
      <c r="DG559" s="8">
        <f t="shared" si="84"/>
        <v>0</v>
      </c>
      <c r="DH559" s="8">
        <f t="shared" si="84"/>
        <v>0</v>
      </c>
      <c r="DI559" s="8">
        <f t="shared" si="84"/>
        <v>0</v>
      </c>
      <c r="DJ559" s="8">
        <f t="shared" si="84"/>
        <v>0</v>
      </c>
      <c r="DK559" s="8">
        <f t="shared" si="84"/>
        <v>2111838.0200000009</v>
      </c>
      <c r="DL559" s="8">
        <f t="shared" si="84"/>
        <v>0</v>
      </c>
      <c r="DM559" s="8">
        <f t="shared" si="84"/>
        <v>0</v>
      </c>
      <c r="DN559" s="8">
        <f t="shared" si="84"/>
        <v>424227.23</v>
      </c>
      <c r="DO559" s="8">
        <f t="shared" si="84"/>
        <v>424227.23</v>
      </c>
      <c r="DP559" s="8">
        <f t="shared" si="84"/>
        <v>2111838.0200000009</v>
      </c>
      <c r="DR559" s="8">
        <f t="shared" ref="DR559:ED559" si="85">DR556-DR557</f>
        <v>12164247</v>
      </c>
      <c r="DS559" s="8">
        <f t="shared" si="85"/>
        <v>12164247</v>
      </c>
      <c r="DT559" s="8">
        <f t="shared" si="85"/>
        <v>0</v>
      </c>
      <c r="DU559" s="8">
        <f t="shared" si="85"/>
        <v>0</v>
      </c>
      <c r="DV559" s="8">
        <f t="shared" si="85"/>
        <v>0</v>
      </c>
      <c r="DW559" s="8">
        <f t="shared" si="85"/>
        <v>0</v>
      </c>
      <c r="DX559" s="8">
        <f t="shared" si="85"/>
        <v>0</v>
      </c>
      <c r="DY559" s="8">
        <f t="shared" si="85"/>
        <v>0</v>
      </c>
      <c r="DZ559" s="8">
        <f t="shared" si="85"/>
        <v>0</v>
      </c>
      <c r="EA559" s="8">
        <f t="shared" si="85"/>
        <v>0</v>
      </c>
      <c r="EB559" s="8">
        <f t="shared" si="85"/>
        <v>0</v>
      </c>
      <c r="EC559" s="8">
        <f t="shared" si="85"/>
        <v>0</v>
      </c>
      <c r="ED559" s="8">
        <f t="shared" si="85"/>
        <v>12164247</v>
      </c>
      <c r="EF559" s="8">
        <f t="shared" ref="EF559:EL559" si="86">EF556-EF557</f>
        <v>6429681.1000000015</v>
      </c>
      <c r="EG559" s="8">
        <f t="shared" si="86"/>
        <v>499543.63</v>
      </c>
      <c r="EH559" s="8">
        <f t="shared" si="86"/>
        <v>0</v>
      </c>
      <c r="EI559" s="8">
        <f t="shared" si="86"/>
        <v>0</v>
      </c>
      <c r="EJ559" s="8">
        <f t="shared" si="86"/>
        <v>0</v>
      </c>
      <c r="EK559" s="8">
        <f t="shared" si="86"/>
        <v>6929224.7300000014</v>
      </c>
      <c r="EL559" s="8">
        <f t="shared" si="86"/>
        <v>2748252.0299999984</v>
      </c>
      <c r="EM559" s="8">
        <f t="shared" ref="EM559:EQ559" si="87">EM556-EM557</f>
        <v>2748252.0299999984</v>
      </c>
      <c r="EN559" s="8">
        <f t="shared" si="87"/>
        <v>0</v>
      </c>
      <c r="EO559" s="8">
        <f t="shared" si="87"/>
        <v>0</v>
      </c>
      <c r="EP559" s="8">
        <f t="shared" si="87"/>
        <v>0</v>
      </c>
      <c r="EQ559" s="8">
        <f t="shared" si="87"/>
        <v>2748252.0299999984</v>
      </c>
      <c r="ER559" s="8">
        <f t="shared" ref="ER559" si="88">ER556-ER557</f>
        <v>2486770.2400000002</v>
      </c>
    </row>
    <row r="560" spans="1:157" ht="15" thickTop="1">
      <c r="A560" s="6" t="s">
        <v>228</v>
      </c>
      <c r="B560" s="15">
        <v>12164247</v>
      </c>
      <c r="D560" s="3"/>
      <c r="E560" s="5"/>
      <c r="F560" s="5"/>
    </row>
    <row r="561" spans="1:6">
      <c r="A561" s="6" t="s">
        <v>229</v>
      </c>
      <c r="B561" s="15">
        <v>6020788.8300000019</v>
      </c>
      <c r="C561" s="15"/>
      <c r="D561" s="1"/>
      <c r="E561" s="5"/>
      <c r="F561" s="5"/>
    </row>
    <row r="562" spans="1:6">
      <c r="A562" s="6" t="s">
        <v>230</v>
      </c>
      <c r="B562" s="17">
        <v>10957.5</v>
      </c>
      <c r="C562" s="5">
        <f>B560-B561</f>
        <v>6143458.1699999981</v>
      </c>
      <c r="D562" s="5">
        <f>ROUND(C562/5534*10957.5,2)</f>
        <v>12164247</v>
      </c>
      <c r="E562" s="5">
        <f>D562-C562</f>
        <v>6020788.8300000019</v>
      </c>
      <c r="F562" s="5">
        <f>-B559+F561</f>
        <v>5660048.5999999996</v>
      </c>
    </row>
    <row r="563" spans="1:6">
      <c r="A563" s="6" t="s">
        <v>231</v>
      </c>
      <c r="B563" s="16">
        <v>5534</v>
      </c>
      <c r="E563" s="5"/>
    </row>
    <row r="564" spans="1:6">
      <c r="A564" s="6" t="s">
        <v>232</v>
      </c>
      <c r="B564" s="5">
        <v>4318557.7399999984</v>
      </c>
      <c r="E564" s="5"/>
    </row>
    <row r="565" spans="1:6">
      <c r="A565" s="6" t="s">
        <v>233</v>
      </c>
      <c r="B565" s="5">
        <v>-3835148.1699999995</v>
      </c>
      <c r="E565" s="5"/>
    </row>
    <row r="566" spans="1:6">
      <c r="A566" s="6" t="s">
        <v>234</v>
      </c>
      <c r="B566" s="5">
        <f>C562-B564</f>
        <v>1824900.4299999997</v>
      </c>
      <c r="E566" s="5"/>
    </row>
    <row r="567" spans="1:6">
      <c r="A567" s="6" t="s">
        <v>235</v>
      </c>
      <c r="B567" s="5">
        <f>B559-B565</f>
        <v>-1824900.4300000002</v>
      </c>
      <c r="E567" s="5"/>
    </row>
    <row r="568" spans="1:6">
      <c r="B568" s="5"/>
      <c r="E568" s="5"/>
    </row>
    <row r="569" spans="1:6">
      <c r="A569" s="9" t="s">
        <v>202</v>
      </c>
      <c r="C569" s="9" t="s">
        <v>203</v>
      </c>
      <c r="D569" s="10" t="s">
        <v>204</v>
      </c>
      <c r="E569" s="10" t="s">
        <v>205</v>
      </c>
    </row>
    <row r="570" spans="1:6">
      <c r="A570" s="6" t="s">
        <v>271</v>
      </c>
      <c r="C570" s="9"/>
      <c r="D570" s="10"/>
      <c r="E570" s="10"/>
    </row>
    <row r="571" spans="1:6">
      <c r="A571" s="6" t="s">
        <v>207</v>
      </c>
      <c r="C571" s="11">
        <f>'11.2'!$E$36</f>
        <v>12164247</v>
      </c>
      <c r="D571" s="11">
        <f>'11.2'!$F$36</f>
        <v>0</v>
      </c>
      <c r="E571" s="11">
        <f>D571-C571</f>
        <v>-12164247</v>
      </c>
    </row>
    <row r="572" spans="1:6">
      <c r="A572" s="6" t="s">
        <v>208</v>
      </c>
      <c r="C572" s="11"/>
      <c r="D572" s="11"/>
      <c r="E572" s="11"/>
    </row>
    <row r="573" spans="1:6">
      <c r="A573" s="6" t="s">
        <v>314</v>
      </c>
      <c r="C573" s="11"/>
      <c r="D573" s="11"/>
      <c r="E573" s="11"/>
    </row>
    <row r="574" spans="1:6">
      <c r="A574" s="6" t="s">
        <v>212</v>
      </c>
      <c r="C574" s="11">
        <f>'11.2'!$E$37</f>
        <v>6429681.1000000015</v>
      </c>
      <c r="D574" s="11">
        <f>'11.2'!$F$37</f>
        <v>0</v>
      </c>
      <c r="E574" s="11">
        <f>C574-D574</f>
        <v>6429681.1000000015</v>
      </c>
    </row>
    <row r="575" spans="1:6">
      <c r="A575" s="6" t="s">
        <v>213</v>
      </c>
      <c r="C575" s="11">
        <f>'11.2'!$E$44</f>
        <v>499543.63</v>
      </c>
      <c r="D575" s="11">
        <f>'11.2'!$F$44</f>
        <v>0</v>
      </c>
      <c r="E575" s="11">
        <f>C575-D575</f>
        <v>499543.63</v>
      </c>
    </row>
    <row r="576" spans="1:6">
      <c r="A576" s="6" t="s">
        <v>317</v>
      </c>
      <c r="C576" s="11"/>
      <c r="D576" s="11"/>
      <c r="E576" s="11"/>
    </row>
    <row r="577" spans="1:5">
      <c r="A577" s="6" t="s">
        <v>318</v>
      </c>
      <c r="C577" s="11">
        <f>'11.2'!$E$38</f>
        <v>2748252.0299999984</v>
      </c>
      <c r="D577" s="11">
        <f>'11.2'!$F$38</f>
        <v>0</v>
      </c>
      <c r="E577" s="11">
        <f>C577-D577</f>
        <v>2748252.0299999984</v>
      </c>
    </row>
    <row r="578" spans="1:5">
      <c r="A578" s="6" t="s">
        <v>319</v>
      </c>
      <c r="C578" s="11"/>
      <c r="D578" s="11"/>
      <c r="E578" s="11"/>
    </row>
    <row r="579" spans="1:5">
      <c r="A579" s="6" t="s">
        <v>315</v>
      </c>
      <c r="C579" s="11">
        <f>-'11.2'!$E$30+'11.2'!$E$31+'11.2'!$E$32</f>
        <v>0</v>
      </c>
      <c r="D579" s="11">
        <f>-'11.2'!$F$30+'11.2'!$F$31+'11.2'!$F$32</f>
        <v>2991788.3200000003</v>
      </c>
      <c r="E579" s="11">
        <f>D579-C579</f>
        <v>2991788.3200000003</v>
      </c>
    </row>
    <row r="580" spans="1:5">
      <c r="A580" s="6" t="s">
        <v>254</v>
      </c>
      <c r="C580" s="11">
        <f>'11.2'!$E$22+'11.2'!$E$27</f>
        <v>408892.27</v>
      </c>
      <c r="D580" s="11">
        <f>'11.2'!$F$22+'11.2'!$F$27</f>
        <v>403417.82</v>
      </c>
      <c r="E580" s="11">
        <f>D580-C580</f>
        <v>-5474.4500000000116</v>
      </c>
    </row>
    <row r="581" spans="1:5">
      <c r="A581" s="6" t="s">
        <v>215</v>
      </c>
      <c r="C581" s="11">
        <f>'11.2'!$E$44</f>
        <v>499543.63</v>
      </c>
      <c r="D581" s="11">
        <f>'11.2'!$F$44</f>
        <v>0</v>
      </c>
      <c r="E581" s="11">
        <f>D581-C581</f>
        <v>-499543.63</v>
      </c>
    </row>
    <row r="582" spans="1:5">
      <c r="A582" s="6" t="s">
        <v>321</v>
      </c>
      <c r="C582" s="11"/>
      <c r="D582" s="11"/>
      <c r="E582" s="11"/>
    </row>
    <row r="583" spans="1:5">
      <c r="A583" s="6" t="s">
        <v>322</v>
      </c>
      <c r="C583" s="11">
        <f>'11.2'!$E$40</f>
        <v>2536065.2500000009</v>
      </c>
      <c r="D583" s="11">
        <f>'11.2'!$F$40</f>
        <v>0</v>
      </c>
      <c r="E583" s="11">
        <f>C583-D583</f>
        <v>2536065.2500000009</v>
      </c>
    </row>
    <row r="584" spans="1:5">
      <c r="A584" s="6" t="s">
        <v>323</v>
      </c>
      <c r="C584" s="11">
        <f>'11.2'!$E$45</f>
        <v>424227.23</v>
      </c>
      <c r="D584" s="11">
        <f>'11.2'!$F$45</f>
        <v>0</v>
      </c>
      <c r="E584" s="11">
        <f>C584-D584</f>
        <v>424227.23</v>
      </c>
    </row>
    <row r="585" spans="1:5">
      <c r="A585" s="6" t="s">
        <v>324</v>
      </c>
      <c r="C585" s="11">
        <f>'11.2'!$E$23+'11.2'!$E$28</f>
        <v>375731.31999999995</v>
      </c>
      <c r="D585" s="11">
        <f>'11.2'!$F$23+'11.2'!$F$28</f>
        <v>371082.25999999995</v>
      </c>
      <c r="E585" s="11">
        <f>C585-D585</f>
        <v>4649.0599999999977</v>
      </c>
    </row>
    <row r="586" spans="1:5">
      <c r="A586" s="6" t="s">
        <v>325</v>
      </c>
      <c r="C586" s="11">
        <f>-'11.2'!$E$33</f>
        <v>0</v>
      </c>
      <c r="D586" s="11">
        <f>-'11.2'!$F$33</f>
        <v>2540714.3100000015</v>
      </c>
      <c r="E586" s="11">
        <f>C586-D586</f>
        <v>-2540714.3100000015</v>
      </c>
    </row>
    <row r="587" spans="1:5">
      <c r="A587" s="6" t="s">
        <v>326</v>
      </c>
      <c r="C587" s="11">
        <f>'11.2'!$E$45</f>
        <v>424227.23</v>
      </c>
      <c r="D587" s="11">
        <f>'11.2'!$F$45</f>
        <v>0</v>
      </c>
      <c r="E587" s="11">
        <f>D587-C587</f>
        <v>-424227.23</v>
      </c>
    </row>
    <row r="590" spans="1:5">
      <c r="E590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5D63-BEB3-45EC-ADC2-8CE99829DDC7}">
  <dimension ref="A2:D28"/>
  <sheetViews>
    <sheetView topLeftCell="A18" workbookViewId="0">
      <selection activeCell="A10" sqref="A10"/>
    </sheetView>
  </sheetViews>
  <sheetFormatPr defaultRowHeight="14.45"/>
  <cols>
    <col min="1" max="1" width="33.7109375" bestFit="1" customWidth="1"/>
    <col min="2" max="4" width="18.7109375" customWidth="1"/>
  </cols>
  <sheetData>
    <row r="2" spans="1:4">
      <c r="C2">
        <v>1.1000000000000001</v>
      </c>
      <c r="D2">
        <v>1.2</v>
      </c>
    </row>
    <row r="3" spans="1:4" ht="100.9">
      <c r="B3" s="10" t="s">
        <v>328</v>
      </c>
      <c r="C3" s="9" t="s">
        <v>329</v>
      </c>
      <c r="D3" s="9" t="s">
        <v>330</v>
      </c>
    </row>
    <row r="5" spans="1:4">
      <c r="A5" t="s">
        <v>228</v>
      </c>
      <c r="B5" s="5">
        <v>3046098.51</v>
      </c>
      <c r="C5" s="5">
        <v>3807623.14</v>
      </c>
      <c r="D5" s="5">
        <v>2284573.88</v>
      </c>
    </row>
    <row r="6" spans="1:4">
      <c r="A6" t="s">
        <v>230</v>
      </c>
      <c r="B6">
        <v>3650</v>
      </c>
      <c r="C6">
        <v>3650</v>
      </c>
      <c r="D6">
        <v>3650</v>
      </c>
    </row>
    <row r="7" spans="1:4">
      <c r="A7" t="s">
        <v>296</v>
      </c>
      <c r="B7" s="3">
        <v>45306</v>
      </c>
      <c r="C7" s="3">
        <v>45306</v>
      </c>
      <c r="D7" s="3">
        <v>45306</v>
      </c>
    </row>
    <row r="8" spans="1:4">
      <c r="A8" t="s">
        <v>331</v>
      </c>
      <c r="B8">
        <v>1</v>
      </c>
      <c r="C8">
        <v>1</v>
      </c>
      <c r="D8">
        <v>1</v>
      </c>
    </row>
    <row r="9" spans="1:4">
      <c r="A9" t="s">
        <v>274</v>
      </c>
      <c r="B9" s="3">
        <v>45473</v>
      </c>
      <c r="C9" s="3">
        <v>45473</v>
      </c>
      <c r="D9" s="3">
        <v>45473</v>
      </c>
    </row>
    <row r="10" spans="1:4">
      <c r="A10" t="s">
        <v>332</v>
      </c>
      <c r="B10">
        <f>B9-B7+1</f>
        <v>168</v>
      </c>
      <c r="C10">
        <f>C9-C7+1</f>
        <v>168</v>
      </c>
      <c r="D10">
        <f>D9-D7+1</f>
        <v>168</v>
      </c>
    </row>
    <row r="11" spans="1:4">
      <c r="A11" t="s">
        <v>333</v>
      </c>
      <c r="B11" s="1">
        <f>ROUND((B5-B8)/B6*B10,2)</f>
        <v>140203.94</v>
      </c>
      <c r="C11" s="1">
        <f>ROUND((C5-C8)/C6*C10,2)</f>
        <v>175254.94</v>
      </c>
      <c r="D11" s="1">
        <f>ROUND((D5-D8)/D6*D10,2)</f>
        <v>105152.94</v>
      </c>
    </row>
    <row r="12" spans="1:4">
      <c r="B12" s="20"/>
      <c r="C12" s="20"/>
      <c r="D12" s="20"/>
    </row>
    <row r="14" spans="1:4">
      <c r="A14" t="s">
        <v>228</v>
      </c>
      <c r="B14" s="5">
        <f>B5</f>
        <v>3046098.51</v>
      </c>
      <c r="C14" s="5">
        <f>C5</f>
        <v>3807623.14</v>
      </c>
      <c r="D14" s="5">
        <f>D5</f>
        <v>2284573.88</v>
      </c>
    </row>
    <row r="15" spans="1:4">
      <c r="A15" t="s">
        <v>229</v>
      </c>
      <c r="B15" s="5">
        <f>B11</f>
        <v>140203.94</v>
      </c>
      <c r="C15" s="5">
        <f>C11</f>
        <v>175254.94</v>
      </c>
      <c r="D15" s="5">
        <f>D11</f>
        <v>105152.94</v>
      </c>
    </row>
    <row r="16" spans="1:4">
      <c r="A16" t="s">
        <v>334</v>
      </c>
    </row>
    <row r="17" spans="1:4" ht="15" thickBot="1">
      <c r="A17" t="s">
        <v>335</v>
      </c>
      <c r="B17" s="8">
        <f>B14-B15-B16</f>
        <v>2905894.57</v>
      </c>
      <c r="C17" s="8">
        <f>C14-C15-C16</f>
        <v>3632368.2</v>
      </c>
      <c r="D17" s="8">
        <f>D14-D15-D16</f>
        <v>2179420.94</v>
      </c>
    </row>
    <row r="18" spans="1:4" ht="15" thickTop="1"/>
    <row r="19" spans="1:4">
      <c r="A19" t="s">
        <v>231</v>
      </c>
      <c r="B19">
        <f>B6-B10</f>
        <v>3482</v>
      </c>
      <c r="C19">
        <f>C6-C10</f>
        <v>3482</v>
      </c>
      <c r="D19">
        <f>D6-D10</f>
        <v>3482</v>
      </c>
    </row>
    <row r="21" spans="1:4">
      <c r="A21" t="s">
        <v>336</v>
      </c>
      <c r="B21" s="1">
        <f>ROUND((B17-B8)/B19*365,2)</f>
        <v>304609.75</v>
      </c>
      <c r="C21" s="1">
        <f>ROUND((C17-C8)/C19*365,2)</f>
        <v>380762.21</v>
      </c>
      <c r="D21" s="1">
        <f>ROUND((D17-D8)/D19*365,2)</f>
        <v>228457.29</v>
      </c>
    </row>
    <row r="23" spans="1:4">
      <c r="A23" t="s">
        <v>228</v>
      </c>
      <c r="B23" s="5">
        <f>B5</f>
        <v>3046098.51</v>
      </c>
      <c r="C23" s="5">
        <f>C5</f>
        <v>3807623.14</v>
      </c>
      <c r="D23" s="5">
        <f>D5</f>
        <v>2284573.88</v>
      </c>
    </row>
    <row r="24" spans="1:4">
      <c r="A24" t="s">
        <v>229</v>
      </c>
      <c r="B24" s="5">
        <f>B15+B21</f>
        <v>444813.69</v>
      </c>
      <c r="C24" s="5">
        <f>C15+C21</f>
        <v>556017.15</v>
      </c>
      <c r="D24" s="5">
        <f>D15+D21</f>
        <v>333610.23</v>
      </c>
    </row>
    <row r="25" spans="1:4">
      <c r="A25" t="s">
        <v>334</v>
      </c>
    </row>
    <row r="26" spans="1:4" ht="15" thickBot="1">
      <c r="A26" t="s">
        <v>335</v>
      </c>
      <c r="B26" s="8">
        <f>B23-B24-B25</f>
        <v>2601284.8199999998</v>
      </c>
      <c r="C26" s="8">
        <f>C23-C24-C25</f>
        <v>3251605.99</v>
      </c>
      <c r="D26" s="8">
        <f>D23-D24-D25</f>
        <v>1950963.65</v>
      </c>
    </row>
    <row r="27" spans="1:4" ht="15" thickTop="1"/>
    <row r="28" spans="1:4">
      <c r="B28">
        <f>B19-365</f>
        <v>3117</v>
      </c>
      <c r="C28">
        <f>C19-365</f>
        <v>3117</v>
      </c>
      <c r="D28">
        <f>D19-365</f>
        <v>3117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2E30-0ED5-42E9-9345-4DABC22AA3AB}">
  <dimension ref="A2:G40"/>
  <sheetViews>
    <sheetView topLeftCell="A22" workbookViewId="0">
      <selection activeCell="E16" sqref="E16:E32"/>
    </sheetView>
  </sheetViews>
  <sheetFormatPr defaultRowHeight="14.45"/>
  <cols>
    <col min="1" max="1" width="33.7109375" bestFit="1" customWidth="1"/>
    <col min="2" max="7" width="18.7109375" customWidth="1"/>
  </cols>
  <sheetData>
    <row r="2" spans="1:7">
      <c r="D2">
        <v>2.1</v>
      </c>
      <c r="F2">
        <v>2.2000000000000002</v>
      </c>
    </row>
    <row r="3" spans="1:7" ht="187.15">
      <c r="B3" s="10" t="s">
        <v>337</v>
      </c>
      <c r="C3" s="9" t="s">
        <v>338</v>
      </c>
      <c r="D3" s="9" t="s">
        <v>339</v>
      </c>
      <c r="E3" s="9"/>
      <c r="F3" s="9" t="s">
        <v>340</v>
      </c>
      <c r="G3" s="9"/>
    </row>
    <row r="5" spans="1:7">
      <c r="A5" t="s">
        <v>228</v>
      </c>
      <c r="B5" s="5">
        <v>14067803.82</v>
      </c>
      <c r="C5" s="15">
        <v>12164247</v>
      </c>
      <c r="D5" s="5">
        <f>ROUND(D9/D12*D11,2)</f>
        <v>14851233.960000001</v>
      </c>
      <c r="E5" s="5">
        <f>D5-C5</f>
        <v>2686986.9600000009</v>
      </c>
      <c r="F5" s="5">
        <f>ROUND(F9/F12*F11,2)</f>
        <v>10891168.91</v>
      </c>
      <c r="G5" s="5">
        <f>F5-C5</f>
        <v>-1273078.0899999999</v>
      </c>
    </row>
    <row r="6" spans="1:7">
      <c r="A6" t="s">
        <v>341</v>
      </c>
      <c r="B6" s="5">
        <v>9749246.0800000001</v>
      </c>
      <c r="C6" s="15">
        <v>6020788.8300000019</v>
      </c>
      <c r="D6" s="5">
        <f>D5-D9</f>
        <v>7350733.9600000009</v>
      </c>
      <c r="E6" s="5">
        <f>-D6+C6</f>
        <v>-1329945.129999999</v>
      </c>
      <c r="F6" s="5">
        <f>F5-F9</f>
        <v>5390668.9100000001</v>
      </c>
      <c r="G6" s="5">
        <f>-F6+C6</f>
        <v>630119.92000000179</v>
      </c>
    </row>
    <row r="7" spans="1:7">
      <c r="A7" t="s">
        <v>342</v>
      </c>
      <c r="B7" s="5"/>
      <c r="C7" s="5"/>
      <c r="D7" s="5"/>
      <c r="E7" s="5"/>
      <c r="F7" s="5"/>
      <c r="G7" s="5"/>
    </row>
    <row r="8" spans="1:7">
      <c r="A8" s="5" t="s">
        <v>343</v>
      </c>
      <c r="B8" s="5">
        <v>3835148.17</v>
      </c>
      <c r="C8" s="15">
        <v>5660048.5999999996</v>
      </c>
      <c r="D8" s="5">
        <f>D9-C9+C8</f>
        <v>7017090.4300000016</v>
      </c>
      <c r="E8" s="5">
        <f>-D8+C8</f>
        <v>-1357041.8300000019</v>
      </c>
      <c r="F8" s="5">
        <f>F9-C9+C8</f>
        <v>5017090.4300000016</v>
      </c>
      <c r="G8" s="5">
        <f>-F8+C8</f>
        <v>642958.16999999806</v>
      </c>
    </row>
    <row r="9" spans="1:7">
      <c r="A9" t="s">
        <v>335</v>
      </c>
      <c r="B9" s="21">
        <f>B5-B6</f>
        <v>4318557.74</v>
      </c>
      <c r="C9" s="21">
        <f>C5-C6</f>
        <v>6143458.1699999981</v>
      </c>
      <c r="D9" s="21">
        <v>7500500</v>
      </c>
      <c r="E9" s="27">
        <f>SUM(E5:E8)</f>
        <v>0</v>
      </c>
      <c r="F9" s="21">
        <v>5500500</v>
      </c>
      <c r="G9" s="27">
        <f>SUM(G5:G8)</f>
        <v>0</v>
      </c>
    </row>
    <row r="10" spans="1:7">
      <c r="B10" s="5"/>
      <c r="C10" s="5"/>
      <c r="D10" s="5"/>
      <c r="E10" s="5"/>
      <c r="F10" s="5"/>
      <c r="G10" s="5"/>
    </row>
    <row r="11" spans="1:7">
      <c r="A11" t="s">
        <v>230</v>
      </c>
      <c r="C11" s="17">
        <v>10957.5</v>
      </c>
      <c r="D11" s="17">
        <v>10957.5</v>
      </c>
      <c r="E11" s="17"/>
      <c r="F11" s="17">
        <v>10957.5</v>
      </c>
      <c r="G11" s="17"/>
    </row>
    <row r="12" spans="1:7">
      <c r="A12" t="s">
        <v>231</v>
      </c>
      <c r="B12" s="3"/>
      <c r="C12" s="16">
        <v>5534</v>
      </c>
      <c r="D12" s="16">
        <v>5534</v>
      </c>
      <c r="F12" s="16">
        <v>5534</v>
      </c>
    </row>
    <row r="13" spans="1:7">
      <c r="A13" t="s">
        <v>331</v>
      </c>
      <c r="C13">
        <v>1</v>
      </c>
      <c r="D13">
        <v>1</v>
      </c>
      <c r="E13" s="3"/>
      <c r="F13">
        <v>1</v>
      </c>
      <c r="G13" s="3"/>
    </row>
    <row r="14" spans="1:7">
      <c r="A14" t="s">
        <v>344</v>
      </c>
      <c r="C14" s="3">
        <v>45108</v>
      </c>
      <c r="D14" s="3">
        <v>45108</v>
      </c>
      <c r="F14" s="3">
        <v>45108</v>
      </c>
    </row>
    <row r="15" spans="1:7">
      <c r="A15" t="s">
        <v>274</v>
      </c>
      <c r="B15" s="3"/>
      <c r="C15" s="3">
        <v>45473</v>
      </c>
      <c r="D15" s="3">
        <v>45473</v>
      </c>
      <c r="E15" s="3"/>
      <c r="F15" s="3">
        <v>45473</v>
      </c>
      <c r="G15" s="3"/>
    </row>
    <row r="16" spans="1:7">
      <c r="A16" t="s">
        <v>345</v>
      </c>
      <c r="C16">
        <f>C15-C14+1</f>
        <v>366</v>
      </c>
      <c r="D16">
        <f>D15-D14+1</f>
        <v>366</v>
      </c>
      <c r="F16">
        <f>F15-F14+1</f>
        <v>366</v>
      </c>
    </row>
    <row r="17" spans="1:7">
      <c r="A17" t="s">
        <v>346</v>
      </c>
      <c r="B17" s="1"/>
      <c r="C17" s="1">
        <f>ROUND((C9-C13)/C12*C16,2)</f>
        <v>406307.43</v>
      </c>
      <c r="D17" s="1">
        <f>ROUND((D9-D13)/D12*D16,2)</f>
        <v>496057.58</v>
      </c>
      <c r="E17" s="1"/>
      <c r="F17" s="1">
        <f>ROUND((F9-F13)/F12*F16,2)</f>
        <v>363784.36</v>
      </c>
      <c r="G17" s="1"/>
    </row>
    <row r="18" spans="1:7">
      <c r="A18" t="s">
        <v>347</v>
      </c>
      <c r="B18" s="1"/>
      <c r="C18" s="1">
        <f>ROUND(C8/C12*C16,2)</f>
        <v>374336.43</v>
      </c>
      <c r="D18" s="1">
        <f>ROUND(D8/D12*D16,2)</f>
        <v>464086.57</v>
      </c>
      <c r="E18" s="1"/>
      <c r="F18" s="1">
        <f>ROUND(F8/F12*F16,2)</f>
        <v>331813.34999999998</v>
      </c>
      <c r="G18" s="1"/>
    </row>
    <row r="19" spans="1:7">
      <c r="B19" s="1"/>
      <c r="C19" s="1"/>
      <c r="D19" s="1"/>
      <c r="E19" s="1"/>
      <c r="F19" s="1"/>
      <c r="G19" s="1"/>
    </row>
    <row r="20" spans="1:7">
      <c r="B20" s="20"/>
      <c r="C20" s="20"/>
      <c r="D20" s="20"/>
      <c r="F20" s="20"/>
    </row>
    <row r="22" spans="1:7">
      <c r="A22" t="s">
        <v>228</v>
      </c>
      <c r="B22" s="5"/>
      <c r="C22" s="5">
        <f>C5</f>
        <v>12164247</v>
      </c>
      <c r="D22" s="5">
        <f>D5</f>
        <v>14851233.960000001</v>
      </c>
      <c r="E22" s="5"/>
      <c r="F22" s="5">
        <f>F5</f>
        <v>10891168.91</v>
      </c>
      <c r="G22" s="5"/>
    </row>
    <row r="23" spans="1:7">
      <c r="A23" t="s">
        <v>229</v>
      </c>
      <c r="B23" s="5"/>
      <c r="C23" s="5">
        <f>C6+C17</f>
        <v>6427096.2600000016</v>
      </c>
      <c r="D23" s="5">
        <f>D6+D17</f>
        <v>7846791.540000001</v>
      </c>
      <c r="E23" s="5"/>
      <c r="F23" s="5">
        <f>F6+F17</f>
        <v>5754453.2700000005</v>
      </c>
      <c r="G23" s="5"/>
    </row>
    <row r="24" spans="1:7">
      <c r="A24" t="s">
        <v>334</v>
      </c>
    </row>
    <row r="25" spans="1:7" ht="15" thickBot="1">
      <c r="A25" t="s">
        <v>335</v>
      </c>
      <c r="B25" s="8"/>
      <c r="C25" s="8">
        <f>C22-C23-C24</f>
        <v>5737150.7399999984</v>
      </c>
      <c r="D25" s="8">
        <f>D22-D23-D24</f>
        <v>7004442.4199999999</v>
      </c>
      <c r="E25" s="5"/>
      <c r="F25" s="8">
        <f>F22-F23-F24</f>
        <v>5136715.6399999997</v>
      </c>
      <c r="G25" s="5"/>
    </row>
    <row r="26" spans="1:7" ht="15.6" thickTop="1" thickBot="1">
      <c r="A26" t="s">
        <v>237</v>
      </c>
      <c r="B26" s="8"/>
      <c r="C26" s="8">
        <f>C8-C18</f>
        <v>5285712.17</v>
      </c>
      <c r="D26" s="8">
        <f>D8-D18</f>
        <v>6553003.8600000013</v>
      </c>
      <c r="E26" s="5"/>
      <c r="F26" s="8">
        <f>F8-F18</f>
        <v>4685277.0800000019</v>
      </c>
      <c r="G26" s="5"/>
    </row>
    <row r="27" spans="1:7" ht="15" thickTop="1"/>
    <row r="28" spans="1:7">
      <c r="A28" t="s">
        <v>231</v>
      </c>
      <c r="C28" s="16">
        <f>C12-C16</f>
        <v>5168</v>
      </c>
      <c r="D28" s="16">
        <f>D12-D16</f>
        <v>5168</v>
      </c>
      <c r="E28" s="16"/>
      <c r="F28" s="16">
        <f>F12-F16</f>
        <v>5168</v>
      </c>
      <c r="G28" s="16"/>
    </row>
    <row r="30" spans="1:7">
      <c r="A30" t="s">
        <v>336</v>
      </c>
      <c r="B30" s="1"/>
      <c r="C30" s="1">
        <f>ROUND((C25-C13)/C28*365,2)</f>
        <v>405197.3</v>
      </c>
      <c r="D30" s="1">
        <f>ROUND((D25-D13)/D28*365,2)</f>
        <v>494702.23</v>
      </c>
      <c r="E30" s="1"/>
      <c r="F30" s="1">
        <f>ROUND((F25-F13)/F28*365,2)</f>
        <v>362790.41</v>
      </c>
      <c r="G30" s="1"/>
    </row>
    <row r="31" spans="1:7">
      <c r="A31" t="s">
        <v>348</v>
      </c>
      <c r="C31" s="1">
        <f>ROUND(C26/C28*365,2)</f>
        <v>373313.65</v>
      </c>
      <c r="D31" s="1">
        <f>ROUND(D26/D28*365,2)</f>
        <v>462818.58</v>
      </c>
      <c r="E31" s="1"/>
      <c r="F31" s="1">
        <f>ROUND(F26/F28*365,2)</f>
        <v>330906.76</v>
      </c>
      <c r="G31" s="1"/>
    </row>
    <row r="34" spans="1:7">
      <c r="A34" t="s">
        <v>228</v>
      </c>
      <c r="B34" s="5"/>
      <c r="C34" s="5">
        <f>C22</f>
        <v>12164247</v>
      </c>
      <c r="D34" s="5">
        <f>D22</f>
        <v>14851233.960000001</v>
      </c>
      <c r="E34" s="5"/>
      <c r="F34" s="5">
        <f>F22</f>
        <v>10891168.91</v>
      </c>
      <c r="G34" s="5"/>
    </row>
    <row r="35" spans="1:7">
      <c r="A35" t="s">
        <v>229</v>
      </c>
      <c r="B35" s="5"/>
      <c r="C35" s="5">
        <f>C23+C30</f>
        <v>6832293.5600000015</v>
      </c>
      <c r="D35" s="5">
        <f>D23+D30</f>
        <v>8341493.7700000014</v>
      </c>
      <c r="E35" s="5"/>
      <c r="F35" s="5">
        <f>F23+F30</f>
        <v>6117243.6800000006</v>
      </c>
      <c r="G35" s="5"/>
    </row>
    <row r="36" spans="1:7">
      <c r="A36" t="s">
        <v>334</v>
      </c>
    </row>
    <row r="37" spans="1:7" ht="15" thickBot="1">
      <c r="A37" t="s">
        <v>335</v>
      </c>
      <c r="B37" s="8"/>
      <c r="C37" s="8">
        <f>C34-C35-C36</f>
        <v>5331953.4399999985</v>
      </c>
      <c r="D37" s="8">
        <f>D34-D35-D36</f>
        <v>6509740.1899999995</v>
      </c>
      <c r="E37" s="5"/>
      <c r="F37" s="8">
        <f>F34-F35-F36</f>
        <v>4773925.2299999995</v>
      </c>
      <c r="G37" s="5"/>
    </row>
    <row r="38" spans="1:7" ht="15.6" thickTop="1" thickBot="1">
      <c r="A38" t="s">
        <v>237</v>
      </c>
      <c r="B38" s="8"/>
      <c r="C38" s="8">
        <f>C26-C31</f>
        <v>4912398.5199999996</v>
      </c>
      <c r="D38" s="8">
        <f>D26-D31</f>
        <v>6090185.2800000012</v>
      </c>
      <c r="E38" s="5"/>
      <c r="F38" s="8">
        <f>F26-F31</f>
        <v>4354370.3200000022</v>
      </c>
      <c r="G38" s="5"/>
    </row>
    <row r="39" spans="1:7" ht="15" thickTop="1"/>
    <row r="40" spans="1:7">
      <c r="C40" s="16">
        <f>C28-365</f>
        <v>4803</v>
      </c>
      <c r="D40" s="16">
        <f>D28-365</f>
        <v>4803</v>
      </c>
      <c r="F40" s="16">
        <f>F28-365</f>
        <v>4803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4B4A-6B69-4334-A954-2E22A3F7F1C6}">
  <dimension ref="A2:H28"/>
  <sheetViews>
    <sheetView topLeftCell="A4" workbookViewId="0">
      <selection activeCell="D11" sqref="D11"/>
    </sheetView>
  </sheetViews>
  <sheetFormatPr defaultRowHeight="14.45"/>
  <cols>
    <col min="1" max="1" width="33.7109375" bestFit="1" customWidth="1"/>
    <col min="2" max="4" width="18.7109375" customWidth="1"/>
    <col min="7" max="7" width="9.42578125" bestFit="1" customWidth="1"/>
  </cols>
  <sheetData>
    <row r="2" spans="1:8">
      <c r="C2">
        <v>3.1</v>
      </c>
      <c r="D2">
        <v>3.2</v>
      </c>
    </row>
    <row r="3" spans="1:8" ht="100.9">
      <c r="B3" s="10" t="s">
        <v>328</v>
      </c>
      <c r="C3" s="9" t="s">
        <v>349</v>
      </c>
      <c r="D3" s="9" t="s">
        <v>330</v>
      </c>
    </row>
    <row r="5" spans="1:8">
      <c r="A5" t="s">
        <v>228</v>
      </c>
      <c r="B5" s="5">
        <v>3046098.51</v>
      </c>
      <c r="C5" s="5">
        <v>3046098.51</v>
      </c>
      <c r="D5" s="5">
        <v>3046098.51</v>
      </c>
    </row>
    <row r="6" spans="1:8">
      <c r="A6" t="s">
        <v>230</v>
      </c>
      <c r="B6">
        <v>3650</v>
      </c>
      <c r="C6">
        <v>3650</v>
      </c>
      <c r="D6">
        <v>3650</v>
      </c>
    </row>
    <row r="7" spans="1:8">
      <c r="A7" t="s">
        <v>296</v>
      </c>
      <c r="B7" s="3">
        <v>45463</v>
      </c>
      <c r="C7" s="3">
        <v>45306</v>
      </c>
      <c r="D7" s="3">
        <v>45472</v>
      </c>
    </row>
    <row r="8" spans="1:8">
      <c r="A8" t="s">
        <v>331</v>
      </c>
      <c r="B8">
        <v>1</v>
      </c>
      <c r="C8">
        <v>1</v>
      </c>
      <c r="D8">
        <v>1</v>
      </c>
    </row>
    <row r="9" spans="1:8">
      <c r="A9" t="s">
        <v>274</v>
      </c>
      <c r="B9" s="3">
        <v>45473</v>
      </c>
      <c r="C9" s="3">
        <v>45473</v>
      </c>
      <c r="D9" s="3">
        <v>45473</v>
      </c>
    </row>
    <row r="10" spans="1:8">
      <c r="A10" t="s">
        <v>332</v>
      </c>
      <c r="B10">
        <f>B9-B7+1</f>
        <v>11</v>
      </c>
      <c r="C10">
        <f>C9-C7+1</f>
        <v>168</v>
      </c>
      <c r="D10">
        <f>D9-D7+1</f>
        <v>2</v>
      </c>
    </row>
    <row r="11" spans="1:8">
      <c r="A11" t="s">
        <v>333</v>
      </c>
      <c r="B11" s="1">
        <f>ROUND((B5-B8)/B6*B10,2)</f>
        <v>9180.02</v>
      </c>
      <c r="C11" s="1">
        <f>ROUND((C5-C8)/C6*C10,2)</f>
        <v>140203.94</v>
      </c>
      <c r="D11" s="1">
        <f>ROUND((D5-D8)/D6*D10,2)</f>
        <v>1669.09</v>
      </c>
      <c r="F11" s="5"/>
      <c r="G11" s="5"/>
      <c r="H11" s="5"/>
    </row>
    <row r="12" spans="1:8">
      <c r="B12" s="20"/>
      <c r="C12" s="20"/>
      <c r="D12" s="20"/>
    </row>
    <row r="14" spans="1:8">
      <c r="A14" t="s">
        <v>228</v>
      </c>
      <c r="B14" s="5">
        <f>B5</f>
        <v>3046098.51</v>
      </c>
      <c r="C14" s="5">
        <f>C5</f>
        <v>3046098.51</v>
      </c>
      <c r="D14" s="5">
        <f>D5</f>
        <v>3046098.51</v>
      </c>
    </row>
    <row r="15" spans="1:8">
      <c r="A15" t="s">
        <v>229</v>
      </c>
      <c r="B15" s="5">
        <f>B11</f>
        <v>9180.02</v>
      </c>
      <c r="C15" s="5">
        <f>C11</f>
        <v>140203.94</v>
      </c>
      <c r="D15" s="5">
        <f>D11</f>
        <v>1669.09</v>
      </c>
    </row>
    <row r="16" spans="1:8">
      <c r="A16" t="s">
        <v>334</v>
      </c>
    </row>
    <row r="17" spans="1:8" ht="15" thickBot="1">
      <c r="A17" t="s">
        <v>335</v>
      </c>
      <c r="B17" s="8">
        <f>B14-B15-B16</f>
        <v>3036918.4899999998</v>
      </c>
      <c r="C17" s="8">
        <f>C14-C15-C16</f>
        <v>2905894.57</v>
      </c>
      <c r="D17" s="8">
        <f>D14-D15-D16</f>
        <v>3044429.42</v>
      </c>
    </row>
    <row r="18" spans="1:8" ht="15" thickTop="1"/>
    <row r="19" spans="1:8">
      <c r="A19" t="s">
        <v>231</v>
      </c>
      <c r="B19">
        <f>B6-B10</f>
        <v>3639</v>
      </c>
      <c r="C19">
        <f>C6-C10</f>
        <v>3482</v>
      </c>
      <c r="D19">
        <f>D6-D10</f>
        <v>3648</v>
      </c>
    </row>
    <row r="21" spans="1:8">
      <c r="A21" t="s">
        <v>336</v>
      </c>
      <c r="B21" s="1">
        <f>ROUND((B17-B8)/B19*365,2)</f>
        <v>304609.75</v>
      </c>
      <c r="C21" s="1">
        <f>ROUND((C17-C8)/C19*365,2)</f>
        <v>304609.75</v>
      </c>
      <c r="D21" s="1">
        <f>ROUND((D17-D8)/D19*365,2)</f>
        <v>304609.75</v>
      </c>
      <c r="F21" s="5"/>
      <c r="G21" s="5"/>
      <c r="H21" s="5"/>
    </row>
    <row r="23" spans="1:8">
      <c r="A23" t="s">
        <v>228</v>
      </c>
      <c r="B23" s="5">
        <f>B5</f>
        <v>3046098.51</v>
      </c>
      <c r="C23" s="5">
        <f>C5</f>
        <v>3046098.51</v>
      </c>
      <c r="D23" s="5">
        <f>D5</f>
        <v>3046098.51</v>
      </c>
    </row>
    <row r="24" spans="1:8">
      <c r="A24" t="s">
        <v>229</v>
      </c>
      <c r="B24" s="5">
        <f>B15+B21</f>
        <v>313789.77</v>
      </c>
      <c r="C24" s="5">
        <f>C15+C21</f>
        <v>444813.69</v>
      </c>
      <c r="D24" s="5">
        <f>D15+D21</f>
        <v>306278.84000000003</v>
      </c>
    </row>
    <row r="25" spans="1:8">
      <c r="A25" t="s">
        <v>334</v>
      </c>
    </row>
    <row r="26" spans="1:8" ht="15" thickBot="1">
      <c r="A26" t="s">
        <v>335</v>
      </c>
      <c r="B26" s="8">
        <f>B23-B24-B25</f>
        <v>2732308.7399999998</v>
      </c>
      <c r="C26" s="8">
        <f>C23-C24-C25</f>
        <v>2601284.8199999998</v>
      </c>
      <c r="D26" s="8">
        <f>D23-D24-D25</f>
        <v>2739819.67</v>
      </c>
    </row>
    <row r="27" spans="1:8" ht="15" thickTop="1"/>
    <row r="28" spans="1:8">
      <c r="B28">
        <f>B19-365</f>
        <v>3274</v>
      </c>
      <c r="C28">
        <f>C19-365</f>
        <v>3117</v>
      </c>
      <c r="D28">
        <f>D19-365</f>
        <v>3283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9715-8E57-43F5-95CD-8A39B7ABD7B6}">
  <dimension ref="A3:G28"/>
  <sheetViews>
    <sheetView topLeftCell="A3" workbookViewId="0">
      <selection activeCell="C26" sqref="C26"/>
    </sheetView>
  </sheetViews>
  <sheetFormatPr defaultRowHeight="14.45"/>
  <cols>
    <col min="1" max="1" width="33.7109375" bestFit="1" customWidth="1"/>
    <col min="2" max="3" width="18.7109375" customWidth="1"/>
    <col min="6" max="6" width="9.42578125" bestFit="1" customWidth="1"/>
  </cols>
  <sheetData>
    <row r="3" spans="1:7" ht="132.6" customHeight="1">
      <c r="B3" s="10" t="s">
        <v>350</v>
      </c>
      <c r="C3" s="9" t="s">
        <v>351</v>
      </c>
    </row>
    <row r="5" spans="1:7">
      <c r="A5" t="s">
        <v>228</v>
      </c>
      <c r="B5" s="5"/>
      <c r="C5" s="5">
        <v>3046098.51</v>
      </c>
    </row>
    <row r="6" spans="1:7">
      <c r="A6" t="s">
        <v>230</v>
      </c>
      <c r="C6">
        <v>2950</v>
      </c>
    </row>
    <row r="7" spans="1:7">
      <c r="A7" t="s">
        <v>296</v>
      </c>
      <c r="B7" s="3"/>
      <c r="C7" s="3">
        <v>45463</v>
      </c>
    </row>
    <row r="8" spans="1:7">
      <c r="A8" t="s">
        <v>331</v>
      </c>
      <c r="C8">
        <v>1</v>
      </c>
    </row>
    <row r="9" spans="1:7">
      <c r="A9" t="s">
        <v>274</v>
      </c>
      <c r="B9" s="3"/>
      <c r="C9" s="3">
        <v>45473</v>
      </c>
    </row>
    <row r="10" spans="1:7">
      <c r="A10" t="s">
        <v>332</v>
      </c>
      <c r="C10">
        <f>C9-C7+1</f>
        <v>11</v>
      </c>
    </row>
    <row r="11" spans="1:7">
      <c r="A11" t="s">
        <v>333</v>
      </c>
      <c r="B11" s="1"/>
      <c r="C11" s="1">
        <f>ROUND((C5-C8)/C6*C10,2)</f>
        <v>11358.33</v>
      </c>
      <c r="E11" s="5"/>
      <c r="F11" s="5"/>
      <c r="G11" s="5"/>
    </row>
    <row r="12" spans="1:7">
      <c r="B12" s="20"/>
      <c r="C12" s="20"/>
    </row>
    <row r="14" spans="1:7">
      <c r="A14" t="s">
        <v>228</v>
      </c>
      <c r="B14" s="5">
        <f>B5</f>
        <v>0</v>
      </c>
      <c r="C14" s="5">
        <f>C5</f>
        <v>3046098.51</v>
      </c>
    </row>
    <row r="15" spans="1:7">
      <c r="A15" t="s">
        <v>229</v>
      </c>
      <c r="B15" s="5">
        <f>B11</f>
        <v>0</v>
      </c>
      <c r="C15" s="5">
        <f>C11</f>
        <v>11358.33</v>
      </c>
    </row>
    <row r="16" spans="1:7">
      <c r="A16" t="s">
        <v>334</v>
      </c>
    </row>
    <row r="17" spans="1:7" ht="15" thickBot="1">
      <c r="A17" t="s">
        <v>335</v>
      </c>
      <c r="B17" s="8">
        <f>B14-B15-B16</f>
        <v>0</v>
      </c>
      <c r="C17" s="8">
        <f>C14-C15-C16</f>
        <v>3034740.1799999997</v>
      </c>
    </row>
    <row r="18" spans="1:7" ht="15" thickTop="1"/>
    <row r="19" spans="1:7">
      <c r="A19" t="s">
        <v>231</v>
      </c>
      <c r="C19">
        <f>C6-C10</f>
        <v>2939</v>
      </c>
    </row>
    <row r="21" spans="1:7">
      <c r="A21" t="s">
        <v>336</v>
      </c>
      <c r="B21" s="1"/>
      <c r="C21" s="1">
        <f>ROUND((C17-C8)/C19*365,2)</f>
        <v>376890.03</v>
      </c>
      <c r="E21" s="5"/>
      <c r="F21" s="5"/>
      <c r="G21" s="5"/>
    </row>
    <row r="23" spans="1:7">
      <c r="A23" t="s">
        <v>228</v>
      </c>
      <c r="B23" s="5"/>
      <c r="C23" s="5">
        <f>C5</f>
        <v>3046098.51</v>
      </c>
    </row>
    <row r="24" spans="1:7">
      <c r="A24" t="s">
        <v>229</v>
      </c>
      <c r="B24" s="5"/>
      <c r="C24" s="5">
        <f>C15+C21</f>
        <v>388248.36000000004</v>
      </c>
    </row>
    <row r="25" spans="1:7">
      <c r="A25" t="s">
        <v>334</v>
      </c>
    </row>
    <row r="26" spans="1:7" ht="15" thickBot="1">
      <c r="A26" t="s">
        <v>335</v>
      </c>
      <c r="B26" s="8">
        <f>B23-B24-B25</f>
        <v>0</v>
      </c>
      <c r="C26" s="8">
        <f>C23-C24-C25</f>
        <v>2657850.15</v>
      </c>
    </row>
    <row r="27" spans="1:7" ht="15" thickTop="1"/>
    <row r="28" spans="1:7">
      <c r="C28">
        <f>C19-365</f>
        <v>2574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4CB5-ED6C-4076-A732-ACDC323C5B74}">
  <dimension ref="A2:H28"/>
  <sheetViews>
    <sheetView topLeftCell="A12" workbookViewId="0">
      <selection activeCell="F25" sqref="F25"/>
    </sheetView>
  </sheetViews>
  <sheetFormatPr defaultRowHeight="14.45"/>
  <cols>
    <col min="1" max="1" width="33.7109375" bestFit="1" customWidth="1"/>
    <col min="2" max="4" width="18.7109375" customWidth="1"/>
    <col min="7" max="7" width="9.42578125" bestFit="1" customWidth="1"/>
  </cols>
  <sheetData>
    <row r="2" spans="1:8">
      <c r="C2" t="s">
        <v>352</v>
      </c>
      <c r="D2">
        <v>5.2</v>
      </c>
    </row>
    <row r="3" spans="1:8" ht="132.6" customHeight="1">
      <c r="B3" s="9" t="s">
        <v>328</v>
      </c>
      <c r="C3" s="9" t="s">
        <v>353</v>
      </c>
      <c r="D3" s="9" t="s">
        <v>354</v>
      </c>
    </row>
    <row r="5" spans="1:8">
      <c r="A5" t="s">
        <v>228</v>
      </c>
      <c r="B5" s="5">
        <v>3046098.51</v>
      </c>
      <c r="C5" s="5">
        <v>3046098.51</v>
      </c>
      <c r="D5" s="5">
        <v>3046098.51</v>
      </c>
    </row>
    <row r="6" spans="1:8">
      <c r="A6" t="s">
        <v>230</v>
      </c>
      <c r="B6">
        <v>3650</v>
      </c>
      <c r="C6">
        <v>3650</v>
      </c>
      <c r="D6">
        <v>3650</v>
      </c>
    </row>
    <row r="7" spans="1:8">
      <c r="A7" t="s">
        <v>296</v>
      </c>
      <c r="B7" s="3">
        <v>45463</v>
      </c>
      <c r="C7" s="3">
        <v>45463</v>
      </c>
      <c r="D7" s="3">
        <v>45463</v>
      </c>
    </row>
    <row r="8" spans="1:8">
      <c r="A8" t="s">
        <v>331</v>
      </c>
      <c r="B8">
        <v>1</v>
      </c>
      <c r="C8" s="5">
        <v>304609.84999999998</v>
      </c>
      <c r="D8" s="5">
        <v>500100</v>
      </c>
    </row>
    <row r="9" spans="1:8">
      <c r="A9" t="s">
        <v>274</v>
      </c>
      <c r="B9" s="3">
        <v>45473</v>
      </c>
      <c r="C9" s="3">
        <v>45473</v>
      </c>
      <c r="D9" s="3">
        <v>45473</v>
      </c>
    </row>
    <row r="10" spans="1:8">
      <c r="A10" t="s">
        <v>332</v>
      </c>
      <c r="B10">
        <f>B9-B7+1</f>
        <v>11</v>
      </c>
      <c r="C10">
        <f>C9-C7+1</f>
        <v>11</v>
      </c>
      <c r="D10">
        <f>D9-D7+1</f>
        <v>11</v>
      </c>
    </row>
    <row r="11" spans="1:8">
      <c r="A11" t="s">
        <v>333</v>
      </c>
      <c r="B11" s="1">
        <f>ROUND((B5-B8)/B6*B10,2)</f>
        <v>9180.02</v>
      </c>
      <c r="C11" s="1">
        <f>ROUND((C5-C8)/C6*C10,2)</f>
        <v>8262.02</v>
      </c>
      <c r="D11" s="1">
        <f>ROUND((D5-D8)/D6*D10,2)</f>
        <v>7672.87</v>
      </c>
      <c r="F11" s="5"/>
      <c r="G11" s="5"/>
      <c r="H11" s="5"/>
    </row>
    <row r="12" spans="1:8">
      <c r="B12" s="20"/>
      <c r="C12" s="20"/>
      <c r="D12" s="20"/>
    </row>
    <row r="14" spans="1:8">
      <c r="A14" t="s">
        <v>228</v>
      </c>
      <c r="B14" s="5">
        <f>B5</f>
        <v>3046098.51</v>
      </c>
      <c r="C14" s="5">
        <f>C5</f>
        <v>3046098.51</v>
      </c>
      <c r="D14" s="5">
        <f>D5</f>
        <v>3046098.51</v>
      </c>
    </row>
    <row r="15" spans="1:8">
      <c r="A15" t="s">
        <v>229</v>
      </c>
      <c r="B15" s="5">
        <f>B11</f>
        <v>9180.02</v>
      </c>
      <c r="C15" s="5">
        <f>C11</f>
        <v>8262.02</v>
      </c>
      <c r="D15" s="5">
        <f>D11</f>
        <v>7672.87</v>
      </c>
    </row>
    <row r="16" spans="1:8">
      <c r="A16" t="s">
        <v>334</v>
      </c>
    </row>
    <row r="17" spans="1:8" ht="15" thickBot="1">
      <c r="A17" t="s">
        <v>335</v>
      </c>
      <c r="B17" s="8">
        <f>B14-B15-B16</f>
        <v>3036918.4899999998</v>
      </c>
      <c r="C17" s="8">
        <f>C14-C15-C16</f>
        <v>3037836.4899999998</v>
      </c>
      <c r="D17" s="8">
        <f>D14-D15-D16</f>
        <v>3038425.6399999997</v>
      </c>
    </row>
    <row r="18" spans="1:8" ht="15" thickTop="1"/>
    <row r="19" spans="1:8">
      <c r="A19" t="s">
        <v>231</v>
      </c>
      <c r="B19">
        <f>B6-B10</f>
        <v>3639</v>
      </c>
      <c r="C19">
        <f>C6-C10</f>
        <v>3639</v>
      </c>
      <c r="D19">
        <f>D6-D10</f>
        <v>3639</v>
      </c>
    </row>
    <row r="21" spans="1:8">
      <c r="A21" t="s">
        <v>336</v>
      </c>
      <c r="B21" s="1">
        <f>ROUND((B17-B8)/B19*365,2)</f>
        <v>304609.75</v>
      </c>
      <c r="C21" s="1">
        <f>ROUND((C17-C8)/C19*365,2)</f>
        <v>274148.87</v>
      </c>
      <c r="D21" s="1">
        <f>ROUND((D17-D8)/D19*365,2)</f>
        <v>254599.85</v>
      </c>
      <c r="F21" s="5"/>
      <c r="G21" s="5"/>
      <c r="H21" s="5"/>
    </row>
    <row r="23" spans="1:8">
      <c r="A23" t="s">
        <v>228</v>
      </c>
      <c r="B23" s="5">
        <f>B5</f>
        <v>3046098.51</v>
      </c>
      <c r="C23" s="5">
        <f>C5</f>
        <v>3046098.51</v>
      </c>
      <c r="D23" s="5">
        <f>D5</f>
        <v>3046098.51</v>
      </c>
    </row>
    <row r="24" spans="1:8">
      <c r="A24" t="s">
        <v>229</v>
      </c>
      <c r="B24" s="5">
        <f>B15+B21</f>
        <v>313789.77</v>
      </c>
      <c r="C24" s="5">
        <f>C15+C21</f>
        <v>282410.89</v>
      </c>
      <c r="D24" s="5">
        <f>D15+D21</f>
        <v>262272.72000000003</v>
      </c>
    </row>
    <row r="25" spans="1:8">
      <c r="A25" t="s">
        <v>334</v>
      </c>
    </row>
    <row r="26" spans="1:8" ht="15" thickBot="1">
      <c r="A26" t="s">
        <v>335</v>
      </c>
      <c r="B26" s="8">
        <f>B23-B24-B25</f>
        <v>2732308.7399999998</v>
      </c>
      <c r="C26" s="8">
        <f>C23-C24-C25</f>
        <v>2763687.6199999996</v>
      </c>
      <c r="D26" s="8">
        <f>D23-D24-D25</f>
        <v>2783825.7899999996</v>
      </c>
    </row>
    <row r="27" spans="1:8" ht="15" thickTop="1"/>
    <row r="28" spans="1:8">
      <c r="B28">
        <f>B19-365</f>
        <v>3274</v>
      </c>
      <c r="C28">
        <f>C19-365</f>
        <v>3274</v>
      </c>
      <c r="D28">
        <f>D19-365</f>
        <v>3274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BCE7-2C14-4279-B734-E8F761C12A41}">
  <dimension ref="A2:F37"/>
  <sheetViews>
    <sheetView topLeftCell="A19" workbookViewId="0">
      <selection activeCell="E15" sqref="E15"/>
    </sheetView>
  </sheetViews>
  <sheetFormatPr defaultRowHeight="14.45"/>
  <cols>
    <col min="1" max="1" width="33.7109375" bestFit="1" customWidth="1"/>
    <col min="2" max="3" width="18.7109375" customWidth="1"/>
    <col min="5" max="6" width="18.7109375" customWidth="1"/>
  </cols>
  <sheetData>
    <row r="2" spans="1:6">
      <c r="C2">
        <v>6.1</v>
      </c>
      <c r="E2">
        <v>6.2</v>
      </c>
      <c r="F2">
        <v>6.3</v>
      </c>
    </row>
    <row r="3" spans="1:6">
      <c r="B3" s="10" t="s">
        <v>328</v>
      </c>
      <c r="C3" s="10" t="s">
        <v>355</v>
      </c>
      <c r="E3" s="10" t="s">
        <v>356</v>
      </c>
      <c r="F3" s="10" t="s">
        <v>357</v>
      </c>
    </row>
    <row r="5" spans="1:6">
      <c r="A5" t="s">
        <v>228</v>
      </c>
      <c r="B5" s="5">
        <v>3046098.51</v>
      </c>
      <c r="C5" s="5">
        <v>3046098.51</v>
      </c>
      <c r="E5" s="5">
        <v>3046098.51</v>
      </c>
      <c r="F5" s="5">
        <v>3046098.51</v>
      </c>
    </row>
    <row r="6" spans="1:6">
      <c r="A6" t="s">
        <v>230</v>
      </c>
      <c r="B6">
        <v>3650</v>
      </c>
      <c r="C6">
        <v>3650</v>
      </c>
      <c r="E6">
        <v>3650</v>
      </c>
      <c r="F6">
        <v>3650</v>
      </c>
    </row>
    <row r="7" spans="1:6">
      <c r="A7" t="s">
        <v>296</v>
      </c>
      <c r="B7" s="3">
        <v>45306</v>
      </c>
      <c r="C7" s="3">
        <v>45306</v>
      </c>
      <c r="E7" s="3">
        <v>45306</v>
      </c>
      <c r="F7" s="3">
        <v>45306</v>
      </c>
    </row>
    <row r="8" spans="1:6">
      <c r="A8" t="s">
        <v>331</v>
      </c>
      <c r="B8">
        <v>1</v>
      </c>
      <c r="C8">
        <v>1</v>
      </c>
      <c r="E8">
        <v>1</v>
      </c>
      <c r="F8">
        <v>1</v>
      </c>
    </row>
    <row r="9" spans="1:6">
      <c r="A9" t="s">
        <v>275</v>
      </c>
      <c r="B9" s="3">
        <v>45463</v>
      </c>
      <c r="C9" s="3">
        <v>45463</v>
      </c>
      <c r="E9" s="3">
        <v>45463</v>
      </c>
      <c r="F9" s="3">
        <v>45463</v>
      </c>
    </row>
    <row r="10" spans="1:6">
      <c r="B10" s="3">
        <v>45473</v>
      </c>
      <c r="C10" s="3">
        <v>45473</v>
      </c>
      <c r="E10" s="3">
        <v>45473</v>
      </c>
      <c r="F10" s="3">
        <v>45473</v>
      </c>
    </row>
    <row r="11" spans="1:6">
      <c r="A11" t="s">
        <v>358</v>
      </c>
      <c r="B11">
        <f>B9-B7+1</f>
        <v>158</v>
      </c>
      <c r="C11">
        <f>C9-C7+1</f>
        <v>158</v>
      </c>
      <c r="E11">
        <f>E9-E7+1</f>
        <v>158</v>
      </c>
      <c r="F11">
        <f>F9-F7+1</f>
        <v>158</v>
      </c>
    </row>
    <row r="12" spans="1:6">
      <c r="A12" t="s">
        <v>359</v>
      </c>
      <c r="B12">
        <f>B10-B7+1-B11</f>
        <v>10</v>
      </c>
      <c r="C12">
        <f>C10-C7+1-C11</f>
        <v>10</v>
      </c>
      <c r="E12">
        <f>E10-E7+1-E11</f>
        <v>10</v>
      </c>
      <c r="F12">
        <f>F10-F7+1-F11</f>
        <v>10</v>
      </c>
    </row>
    <row r="13" spans="1:6">
      <c r="A13" t="s">
        <v>333</v>
      </c>
      <c r="B13" s="1">
        <f>ROUND((B5-B8)/B6*B11,2)</f>
        <v>131858.47</v>
      </c>
      <c r="C13" s="1">
        <f>ROUND((C5-C8)/C6*C11,2)</f>
        <v>131858.47</v>
      </c>
      <c r="E13" s="1">
        <f>ROUND((E5-E8)/E6*E11,2)</f>
        <v>131858.47</v>
      </c>
      <c r="F13" s="1">
        <f>ROUND((F5-F8)/F6*F11,2)</f>
        <v>131858.47</v>
      </c>
    </row>
    <row r="14" spans="1:6">
      <c r="B14" s="1"/>
      <c r="C14" s="1"/>
      <c r="E14" s="1"/>
      <c r="F14" s="1"/>
    </row>
    <row r="15" spans="1:6">
      <c r="A15" t="s">
        <v>360</v>
      </c>
      <c r="B15" s="1"/>
      <c r="C15" s="1">
        <f>C5-C13-1200000</f>
        <v>1714240.0399999996</v>
      </c>
      <c r="E15" s="1">
        <f>E5-E13-1400000</f>
        <v>1514240.0399999996</v>
      </c>
      <c r="F15" s="1">
        <f>F5-F13-1000000</f>
        <v>1914240.0399999996</v>
      </c>
    </row>
    <row r="16" spans="1:6">
      <c r="A16" t="s">
        <v>277</v>
      </c>
      <c r="B16" s="1"/>
      <c r="C16" s="1">
        <v>730</v>
      </c>
      <c r="E16" s="1">
        <v>730</v>
      </c>
      <c r="F16" s="1">
        <v>730</v>
      </c>
    </row>
    <row r="18" spans="1:6">
      <c r="A18" t="s">
        <v>361</v>
      </c>
      <c r="B18" s="1">
        <f>ROUND((B5-B8)/B6*B12,2)</f>
        <v>8345.4699999999993</v>
      </c>
      <c r="C18" s="1">
        <f>ROUND((C5-C13-C15-C8)/C16*C12,2)</f>
        <v>16438.34</v>
      </c>
      <c r="E18" s="1">
        <f>ROUND((E5-E13-E15-E8)/E16*E12,2)</f>
        <v>19178.07</v>
      </c>
      <c r="F18" s="1">
        <f>ROUND((F5-F13-F15-F8)/F16*F12,2)</f>
        <v>13698.62</v>
      </c>
    </row>
    <row r="19" spans="1:6">
      <c r="B19" s="20"/>
      <c r="C19" s="20"/>
      <c r="E19" s="20"/>
      <c r="F19" s="20"/>
    </row>
    <row r="21" spans="1:6">
      <c r="A21" t="s">
        <v>228</v>
      </c>
      <c r="B21" s="5">
        <f>B5</f>
        <v>3046098.51</v>
      </c>
      <c r="C21" s="5">
        <f>C5</f>
        <v>3046098.51</v>
      </c>
      <c r="E21" s="5">
        <f>E5</f>
        <v>3046098.51</v>
      </c>
      <c r="F21" s="5">
        <f>F5</f>
        <v>3046098.51</v>
      </c>
    </row>
    <row r="22" spans="1:6">
      <c r="A22" t="s">
        <v>229</v>
      </c>
      <c r="B22" s="5">
        <f>B13+B18</f>
        <v>140203.94</v>
      </c>
      <c r="C22" s="5">
        <f>C13+C18</f>
        <v>148296.81</v>
      </c>
      <c r="E22" s="5">
        <f>E13+E18</f>
        <v>151036.54</v>
      </c>
      <c r="F22" s="5">
        <f>F13+F18</f>
        <v>145557.09</v>
      </c>
    </row>
    <row r="23" spans="1:6">
      <c r="A23" t="s">
        <v>334</v>
      </c>
      <c r="C23" s="5">
        <f>C15</f>
        <v>1714240.0399999996</v>
      </c>
      <c r="E23" s="5">
        <f>E15</f>
        <v>1514240.0399999996</v>
      </c>
      <c r="F23" s="5">
        <f>F15</f>
        <v>1914240.0399999996</v>
      </c>
    </row>
    <row r="24" spans="1:6" ht="15" thickBot="1">
      <c r="A24" t="s">
        <v>335</v>
      </c>
      <c r="B24" s="8">
        <f>B21-B22-B23</f>
        <v>2905894.57</v>
      </c>
      <c r="C24" s="8">
        <f>C21-C22-C23</f>
        <v>1183561.6600000001</v>
      </c>
      <c r="E24" s="8">
        <f>E21-E22-E23</f>
        <v>1380821.9300000002</v>
      </c>
      <c r="F24" s="8">
        <f>F21-F22-F23</f>
        <v>986301.38000000035</v>
      </c>
    </row>
    <row r="25" spans="1:6" ht="15" thickTop="1"/>
    <row r="26" spans="1:6">
      <c r="A26" t="s">
        <v>231</v>
      </c>
      <c r="B26">
        <f>B6-B11-B12</f>
        <v>3482</v>
      </c>
      <c r="C26" s="5">
        <f>C16-C12</f>
        <v>720</v>
      </c>
      <c r="E26" s="5">
        <f>E16-E12</f>
        <v>720</v>
      </c>
      <c r="F26" s="5">
        <f>F16-F12</f>
        <v>720</v>
      </c>
    </row>
    <row r="28" spans="1:6">
      <c r="A28" t="s">
        <v>336</v>
      </c>
      <c r="B28" s="1">
        <f>ROUND((B24-B8)/B26*365,2)</f>
        <v>304609.75</v>
      </c>
      <c r="C28" s="1">
        <f>ROUND((C24-C8)/C26*365,2)</f>
        <v>599999.5</v>
      </c>
      <c r="E28" s="1">
        <f>ROUND((E24-E8)/E26*365,2)</f>
        <v>699999.5</v>
      </c>
      <c r="F28" s="1">
        <f>ROUND((F24-F8)/F26*365,2)</f>
        <v>499999.5</v>
      </c>
    </row>
    <row r="32" spans="1:6">
      <c r="A32" t="s">
        <v>228</v>
      </c>
      <c r="B32" s="5">
        <f>B5</f>
        <v>3046098.51</v>
      </c>
      <c r="C32" s="5">
        <f>C5</f>
        <v>3046098.51</v>
      </c>
      <c r="E32" s="5">
        <f>E5</f>
        <v>3046098.51</v>
      </c>
      <c r="F32" s="5">
        <f>F5</f>
        <v>3046098.51</v>
      </c>
    </row>
    <row r="33" spans="1:6">
      <c r="A33" t="s">
        <v>229</v>
      </c>
      <c r="B33" s="5">
        <f>B22+B28</f>
        <v>444813.69</v>
      </c>
      <c r="C33" s="5">
        <f>C22+C28</f>
        <v>748296.31</v>
      </c>
      <c r="E33" s="5">
        <f>E22+E28</f>
        <v>851036.04</v>
      </c>
      <c r="F33" s="5">
        <f>F22+F28</f>
        <v>645556.59</v>
      </c>
    </row>
    <row r="34" spans="1:6">
      <c r="A34" t="s">
        <v>334</v>
      </c>
      <c r="C34" s="5">
        <f>C23</f>
        <v>1714240.0399999996</v>
      </c>
      <c r="E34" s="5">
        <f>E23</f>
        <v>1514240.0399999996</v>
      </c>
      <c r="F34" s="5">
        <f>F23</f>
        <v>1914240.0399999996</v>
      </c>
    </row>
    <row r="35" spans="1:6" ht="15" thickBot="1">
      <c r="A35" t="s">
        <v>335</v>
      </c>
      <c r="B35" s="8">
        <f>B32-B33-B34</f>
        <v>2601284.8199999998</v>
      </c>
      <c r="C35" s="8">
        <f>C32-C33-C34</f>
        <v>583562.16000000015</v>
      </c>
      <c r="E35" s="8">
        <f>E32-E33-E34</f>
        <v>680822.43000000017</v>
      </c>
      <c r="F35" s="8">
        <f>F32-F33-F34</f>
        <v>486301.88000000035</v>
      </c>
    </row>
    <row r="36" spans="1:6" ht="15" thickTop="1"/>
    <row r="37" spans="1:6">
      <c r="B37">
        <f>B26-365</f>
        <v>3117</v>
      </c>
      <c r="C37">
        <f>C26-365</f>
        <v>355</v>
      </c>
      <c r="E37">
        <f>E26-365</f>
        <v>355</v>
      </c>
      <c r="F37">
        <f>F26-365</f>
        <v>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AFEB-B2D7-456D-BCA6-7E922C30AB5B}">
  <dimension ref="A3:E47"/>
  <sheetViews>
    <sheetView topLeftCell="A32" workbookViewId="0">
      <selection activeCell="A46" sqref="A46"/>
    </sheetView>
  </sheetViews>
  <sheetFormatPr defaultRowHeight="14.45"/>
  <cols>
    <col min="1" max="1" width="33.7109375" bestFit="1" customWidth="1"/>
    <col min="2" max="5" width="18.7109375" customWidth="1"/>
  </cols>
  <sheetData>
    <row r="3" spans="1:5" ht="28.9">
      <c r="B3" s="10" t="s">
        <v>337</v>
      </c>
      <c r="C3" s="9" t="s">
        <v>338</v>
      </c>
      <c r="D3" s="10" t="s">
        <v>362</v>
      </c>
      <c r="E3" s="9" t="s">
        <v>363</v>
      </c>
    </row>
    <row r="5" spans="1:5">
      <c r="A5" t="s">
        <v>228</v>
      </c>
      <c r="B5" s="5">
        <v>14067803.82</v>
      </c>
      <c r="C5" s="15">
        <v>12164247</v>
      </c>
      <c r="D5" s="5"/>
      <c r="E5" s="5"/>
    </row>
    <row r="6" spans="1:5">
      <c r="A6" t="s">
        <v>341</v>
      </c>
      <c r="B6" s="5">
        <v>9749246.0800000001</v>
      </c>
      <c r="C6" s="15">
        <v>6020788.8300000019</v>
      </c>
      <c r="D6" s="5"/>
      <c r="E6" s="5"/>
    </row>
    <row r="7" spans="1:5">
      <c r="A7" t="s">
        <v>342</v>
      </c>
      <c r="B7" s="5"/>
      <c r="C7" s="5"/>
      <c r="D7" s="5"/>
      <c r="E7" s="5"/>
    </row>
    <row r="8" spans="1:5">
      <c r="A8" s="5" t="s">
        <v>343</v>
      </c>
      <c r="B8" s="5">
        <v>3835148.17</v>
      </c>
      <c r="C8" s="15">
        <v>5660048.5999999996</v>
      </c>
      <c r="D8" s="5"/>
      <c r="E8" s="5"/>
    </row>
    <row r="9" spans="1:5">
      <c r="A9" t="s">
        <v>335</v>
      </c>
      <c r="B9" s="21">
        <f>B5-B6</f>
        <v>4318557.74</v>
      </c>
      <c r="C9" s="21">
        <f>C5-C6</f>
        <v>6143458.1699999981</v>
      </c>
      <c r="D9" s="21"/>
      <c r="E9" s="21"/>
    </row>
    <row r="10" spans="1:5">
      <c r="B10" s="5"/>
      <c r="C10" s="5"/>
      <c r="D10" s="5"/>
      <c r="E10" s="5"/>
    </row>
    <row r="11" spans="1:5">
      <c r="A11" t="s">
        <v>230</v>
      </c>
      <c r="C11" s="17">
        <v>10957.5</v>
      </c>
      <c r="D11" s="1"/>
      <c r="E11" s="1"/>
    </row>
    <row r="12" spans="1:5">
      <c r="A12" t="s">
        <v>231</v>
      </c>
      <c r="B12" s="3"/>
      <c r="C12" s="16">
        <v>5534</v>
      </c>
      <c r="D12" s="1"/>
      <c r="E12" s="1"/>
    </row>
    <row r="13" spans="1:5">
      <c r="A13" t="s">
        <v>277</v>
      </c>
      <c r="B13" s="3"/>
      <c r="C13" s="16">
        <v>2192</v>
      </c>
      <c r="D13" s="1"/>
      <c r="E13" s="1"/>
    </row>
    <row r="14" spans="1:5">
      <c r="A14" t="s">
        <v>331</v>
      </c>
      <c r="C14">
        <v>1</v>
      </c>
      <c r="D14" s="1"/>
      <c r="E14" s="1"/>
    </row>
    <row r="15" spans="1:5">
      <c r="A15" t="s">
        <v>344</v>
      </c>
      <c r="C15" s="3">
        <v>45108</v>
      </c>
      <c r="D15" s="1"/>
      <c r="E15" s="1"/>
    </row>
    <row r="16" spans="1:5">
      <c r="A16" t="s">
        <v>275</v>
      </c>
      <c r="B16" s="3"/>
      <c r="C16" s="3">
        <v>45463</v>
      </c>
      <c r="D16" s="1"/>
      <c r="E16" s="1"/>
    </row>
    <row r="17" spans="1:5">
      <c r="B17" s="3"/>
      <c r="C17" s="3">
        <v>45473</v>
      </c>
      <c r="D17" s="1"/>
      <c r="E17" s="1"/>
    </row>
    <row r="18" spans="1:5">
      <c r="A18" t="s">
        <v>358</v>
      </c>
      <c r="C18">
        <f>C16-C15+1</f>
        <v>356</v>
      </c>
      <c r="D18" s="1"/>
      <c r="E18" s="1"/>
    </row>
    <row r="19" spans="1:5">
      <c r="A19" t="s">
        <v>359</v>
      </c>
      <c r="C19">
        <f>C17-C15+1-C18</f>
        <v>10</v>
      </c>
      <c r="D19" s="1"/>
      <c r="E19" s="1"/>
    </row>
    <row r="20" spans="1:5">
      <c r="A20" t="s">
        <v>333</v>
      </c>
      <c r="B20" s="1"/>
      <c r="C20" s="1"/>
      <c r="D20" s="1">
        <f>ROUND((C9-C14)/C12*C18,2)</f>
        <v>395206.14</v>
      </c>
      <c r="E20" s="1">
        <f>ROUND((C9-C14)/C12*C18,2)</f>
        <v>395206.14</v>
      </c>
    </row>
    <row r="21" spans="1:5">
      <c r="A21" t="s">
        <v>364</v>
      </c>
      <c r="B21" s="1"/>
      <c r="C21" s="1"/>
      <c r="D21" s="1">
        <f>ROUND(C8/C12*C18,2)</f>
        <v>364108.66</v>
      </c>
      <c r="E21" s="1">
        <f>ROUND(C8/C12*C18,2)</f>
        <v>364108.66</v>
      </c>
    </row>
    <row r="22" spans="1:5">
      <c r="B22" s="1"/>
      <c r="C22" s="1"/>
      <c r="D22" s="1"/>
      <c r="E22" s="1"/>
    </row>
    <row r="23" spans="1:5">
      <c r="A23" t="s">
        <v>360</v>
      </c>
      <c r="B23" s="1"/>
      <c r="C23" s="1"/>
      <c r="E23" s="1">
        <f>-3000000+(C9-E20)</f>
        <v>2748252.0299999984</v>
      </c>
    </row>
    <row r="24" spans="1:5">
      <c r="D24" s="1"/>
      <c r="E24" s="1"/>
    </row>
    <row r="25" spans="1:5">
      <c r="A25" t="s">
        <v>361</v>
      </c>
      <c r="D25" s="1">
        <f>ROUND((C9-C14-D20)/C12*C19,2)</f>
        <v>10387.15</v>
      </c>
      <c r="E25" s="1">
        <f>ROUND((C9-C14-E20-E23)/C13*C19,2)</f>
        <v>13686.13</v>
      </c>
    </row>
    <row r="26" spans="1:5">
      <c r="A26" t="s">
        <v>365</v>
      </c>
      <c r="B26" s="1"/>
      <c r="C26" s="1"/>
      <c r="D26" s="1">
        <f>ROUND(C8/C12*C19,2)</f>
        <v>10227.77</v>
      </c>
      <c r="E26" s="1">
        <f>ROUND((C8-E21-E23)/C13*C19,2)</f>
        <v>11622.66</v>
      </c>
    </row>
    <row r="27" spans="1:5">
      <c r="B27" s="20"/>
      <c r="C27" s="20"/>
      <c r="D27" s="20"/>
      <c r="E27" s="20"/>
    </row>
    <row r="29" spans="1:5">
      <c r="A29" t="s">
        <v>228</v>
      </c>
      <c r="B29" s="5"/>
      <c r="C29" s="5"/>
      <c r="D29" s="5">
        <f>C5</f>
        <v>12164247</v>
      </c>
      <c r="E29" s="5">
        <f>C5</f>
        <v>12164247</v>
      </c>
    </row>
    <row r="30" spans="1:5">
      <c r="A30" t="s">
        <v>229</v>
      </c>
      <c r="B30" s="5"/>
      <c r="C30" s="5"/>
      <c r="D30" s="5">
        <f>C6+D20+D25</f>
        <v>6426382.120000002</v>
      </c>
      <c r="E30" s="5">
        <f>C6+E20+E25</f>
        <v>6429681.1000000015</v>
      </c>
    </row>
    <row r="31" spans="1:5">
      <c r="A31" t="s">
        <v>334</v>
      </c>
      <c r="E31" s="5">
        <f>E23</f>
        <v>2748252.0299999984</v>
      </c>
    </row>
    <row r="32" spans="1:5" ht="15" thickBot="1">
      <c r="A32" t="s">
        <v>335</v>
      </c>
      <c r="B32" s="8"/>
      <c r="C32" s="8"/>
      <c r="D32" s="8">
        <f>D29-D30-D31</f>
        <v>5737864.879999998</v>
      </c>
      <c r="E32" s="8">
        <f>E29-E30-E31</f>
        <v>2986313.87</v>
      </c>
    </row>
    <row r="33" spans="1:5" ht="15.6" thickTop="1" thickBot="1">
      <c r="A33" t="s">
        <v>237</v>
      </c>
      <c r="B33" s="8"/>
      <c r="C33" s="8"/>
      <c r="D33" s="8">
        <f>C8-D21-D26</f>
        <v>5285712.17</v>
      </c>
      <c r="E33" s="8">
        <f>C8-E21-E23-E26</f>
        <v>2536065.2500000009</v>
      </c>
    </row>
    <row r="34" spans="1:5" ht="15" thickTop="1"/>
    <row r="35" spans="1:5">
      <c r="A35" t="s">
        <v>231</v>
      </c>
      <c r="D35" s="16">
        <f>C12-C18-C19</f>
        <v>5168</v>
      </c>
      <c r="E35" s="16">
        <f>C13-C19</f>
        <v>2182</v>
      </c>
    </row>
    <row r="37" spans="1:5">
      <c r="A37" t="s">
        <v>336</v>
      </c>
      <c r="B37" s="1"/>
      <c r="C37" s="1"/>
      <c r="D37" s="1">
        <f>ROUND((D32-C14)/D35*365,2)</f>
        <v>405247.74</v>
      </c>
      <c r="E37" s="1">
        <f>ROUND((E32-C14)/E35*365,2)</f>
        <v>499543.63</v>
      </c>
    </row>
    <row r="38" spans="1:5">
      <c r="A38" t="s">
        <v>348</v>
      </c>
      <c r="D38" s="1">
        <f>ROUND(D33/D35*365,2)</f>
        <v>373313.65</v>
      </c>
      <c r="E38" s="1">
        <f>ROUND(E33/E35*365,2)</f>
        <v>424227.23</v>
      </c>
    </row>
    <row r="41" spans="1:5">
      <c r="A41" t="s">
        <v>228</v>
      </c>
      <c r="B41" s="5"/>
      <c r="C41" s="5"/>
      <c r="D41" s="5">
        <f>D29</f>
        <v>12164247</v>
      </c>
      <c r="E41" s="5">
        <f>C5</f>
        <v>12164247</v>
      </c>
    </row>
    <row r="42" spans="1:5">
      <c r="A42" t="s">
        <v>229</v>
      </c>
      <c r="B42" s="5"/>
      <c r="C42" s="5"/>
      <c r="D42" s="5">
        <f>D30+D37</f>
        <v>6831629.8600000022</v>
      </c>
      <c r="E42" s="5">
        <f>E30+E37</f>
        <v>6929224.7300000014</v>
      </c>
    </row>
    <row r="43" spans="1:5">
      <c r="A43" t="s">
        <v>334</v>
      </c>
      <c r="E43" s="5">
        <f>E31</f>
        <v>2748252.0299999984</v>
      </c>
    </row>
    <row r="44" spans="1:5" ht="15" thickBot="1">
      <c r="A44" t="s">
        <v>335</v>
      </c>
      <c r="B44" s="8"/>
      <c r="C44" s="8"/>
      <c r="D44" s="8">
        <f>D41-D42-D43</f>
        <v>5332617.1399999978</v>
      </c>
      <c r="E44" s="8">
        <f>E41-E42-E43</f>
        <v>2486770.2400000002</v>
      </c>
    </row>
    <row r="45" spans="1:5" ht="15.6" thickTop="1" thickBot="1">
      <c r="A45" t="s">
        <v>237</v>
      </c>
      <c r="B45" s="8"/>
      <c r="C45" s="8"/>
      <c r="D45" s="8">
        <f>D33-D38</f>
        <v>4912398.5199999996</v>
      </c>
      <c r="E45" s="8">
        <f>E33-E38</f>
        <v>2111838.0200000009</v>
      </c>
    </row>
    <row r="46" spans="1:5" ht="15" thickTop="1"/>
    <row r="47" spans="1:5">
      <c r="D47" s="16">
        <f>D35-365</f>
        <v>4803</v>
      </c>
      <c r="E47" s="16">
        <f>E35-365</f>
        <v>1817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8F96-4961-434A-84F7-AB15300A0116}">
  <dimension ref="A3:E48"/>
  <sheetViews>
    <sheetView topLeftCell="A30" workbookViewId="0">
      <selection activeCell="D27" activeCellId="1" sqref="D22 D27"/>
    </sheetView>
  </sheetViews>
  <sheetFormatPr defaultRowHeight="14.45"/>
  <cols>
    <col min="1" max="1" width="33.7109375" bestFit="1" customWidth="1"/>
    <col min="2" max="5" width="18.7109375" customWidth="1"/>
  </cols>
  <sheetData>
    <row r="3" spans="1:5" ht="28.9">
      <c r="B3" s="10" t="s">
        <v>337</v>
      </c>
      <c r="C3" s="9" t="s">
        <v>338</v>
      </c>
      <c r="D3" s="9" t="s">
        <v>363</v>
      </c>
      <c r="E3" s="9" t="s">
        <v>366</v>
      </c>
    </row>
    <row r="5" spans="1:5">
      <c r="A5" t="s">
        <v>228</v>
      </c>
      <c r="B5" s="5">
        <v>14067803.82</v>
      </c>
      <c r="C5" s="15">
        <v>12164247</v>
      </c>
      <c r="D5" s="5"/>
      <c r="E5" s="5"/>
    </row>
    <row r="6" spans="1:5">
      <c r="A6" t="s">
        <v>341</v>
      </c>
      <c r="B6" s="5">
        <v>9749246.0800000001</v>
      </c>
      <c r="C6" s="15">
        <v>6020788.8300000019</v>
      </c>
      <c r="D6" s="5"/>
      <c r="E6" s="5"/>
    </row>
    <row r="7" spans="1:5">
      <c r="A7" t="s">
        <v>342</v>
      </c>
      <c r="B7" s="5"/>
      <c r="C7" s="5"/>
      <c r="D7" s="5"/>
      <c r="E7" s="5"/>
    </row>
    <row r="8" spans="1:5">
      <c r="A8" s="5" t="s">
        <v>343</v>
      </c>
      <c r="B8" s="5">
        <v>3835148.17</v>
      </c>
      <c r="C8" s="15">
        <v>5660048.5999999996</v>
      </c>
      <c r="D8" s="5"/>
      <c r="E8" s="5"/>
    </row>
    <row r="9" spans="1:5">
      <c r="A9" t="s">
        <v>335</v>
      </c>
      <c r="B9" s="21">
        <f>B5-B6</f>
        <v>4318557.74</v>
      </c>
      <c r="C9" s="21">
        <f>C5-C6</f>
        <v>6143458.1699999981</v>
      </c>
      <c r="D9" s="21"/>
      <c r="E9" s="21"/>
    </row>
    <row r="10" spans="1:5">
      <c r="B10" s="5"/>
      <c r="C10" s="5"/>
      <c r="D10" s="5"/>
      <c r="E10" s="5"/>
    </row>
    <row r="11" spans="1:5">
      <c r="A11" t="s">
        <v>367</v>
      </c>
      <c r="B11" s="5"/>
      <c r="C11" s="5"/>
      <c r="D11" s="5">
        <v>3000000</v>
      </c>
      <c r="E11" s="5">
        <v>2000000</v>
      </c>
    </row>
    <row r="12" spans="1:5">
      <c r="A12" t="s">
        <v>230</v>
      </c>
      <c r="C12" s="17">
        <v>10957.5</v>
      </c>
      <c r="D12" s="1"/>
      <c r="E12" s="1"/>
    </row>
    <row r="13" spans="1:5">
      <c r="A13" t="s">
        <v>231</v>
      </c>
      <c r="B13" s="3"/>
      <c r="C13" s="16">
        <v>5534</v>
      </c>
      <c r="D13" s="1"/>
      <c r="E13" s="1"/>
    </row>
    <row r="14" spans="1:5">
      <c r="A14" t="s">
        <v>277</v>
      </c>
      <c r="B14" s="3"/>
      <c r="C14" s="16">
        <v>2192</v>
      </c>
      <c r="D14" s="1"/>
      <c r="E14" s="1"/>
    </row>
    <row r="15" spans="1:5">
      <c r="A15" t="s">
        <v>331</v>
      </c>
      <c r="C15">
        <v>1</v>
      </c>
      <c r="D15" s="1"/>
      <c r="E15" s="1"/>
    </row>
    <row r="16" spans="1:5">
      <c r="A16" t="s">
        <v>344</v>
      </c>
      <c r="C16" s="3">
        <v>45108</v>
      </c>
      <c r="D16" s="1"/>
      <c r="E16" s="1"/>
    </row>
    <row r="17" spans="1:5">
      <c r="A17" t="s">
        <v>275</v>
      </c>
      <c r="B17" s="3"/>
      <c r="C17" s="3">
        <v>45463</v>
      </c>
      <c r="D17" s="1"/>
      <c r="E17" s="1"/>
    </row>
    <row r="18" spans="1:5">
      <c r="B18" s="3"/>
      <c r="C18" s="3">
        <v>45473</v>
      </c>
      <c r="D18" s="1"/>
      <c r="E18" s="1"/>
    </row>
    <row r="19" spans="1:5">
      <c r="A19" t="s">
        <v>358</v>
      </c>
      <c r="C19">
        <f>C17-C16+1</f>
        <v>356</v>
      </c>
      <c r="D19" s="1"/>
      <c r="E19" s="1"/>
    </row>
    <row r="20" spans="1:5">
      <c r="A20" t="s">
        <v>359</v>
      </c>
      <c r="C20">
        <f>C18-C16+1-C19</f>
        <v>10</v>
      </c>
      <c r="D20" s="1"/>
      <c r="E20" s="1"/>
    </row>
    <row r="21" spans="1:5">
      <c r="A21" t="s">
        <v>333</v>
      </c>
      <c r="B21" s="1"/>
      <c r="C21" s="1"/>
      <c r="D21" s="1">
        <f>ROUND((C9-C15)/C13*C19,2)</f>
        <v>395206.14</v>
      </c>
      <c r="E21" s="1">
        <f>ROUND((C9-C15)/C13*C19,2)</f>
        <v>395206.14</v>
      </c>
    </row>
    <row r="22" spans="1:5">
      <c r="A22" t="s">
        <v>364</v>
      </c>
      <c r="B22" s="1"/>
      <c r="C22" s="1"/>
      <c r="D22" s="1">
        <f>ROUND(C8/C13*C19,2)</f>
        <v>364108.66</v>
      </c>
      <c r="E22" s="1">
        <f>ROUND(C8/C13*C19,2)</f>
        <v>364108.66</v>
      </c>
    </row>
    <row r="23" spans="1:5">
      <c r="B23" s="1"/>
      <c r="C23" s="1"/>
      <c r="D23" s="1"/>
      <c r="E23" s="1"/>
    </row>
    <row r="24" spans="1:5">
      <c r="A24" t="s">
        <v>360</v>
      </c>
      <c r="B24" s="1"/>
      <c r="C24" s="1"/>
      <c r="D24" s="1">
        <f>-D11+(C9-D21)</f>
        <v>2748252.0299999984</v>
      </c>
      <c r="E24" s="1">
        <f>-E11+(C9-E21)</f>
        <v>3748252.0299999984</v>
      </c>
    </row>
    <row r="25" spans="1:5">
      <c r="D25" s="1"/>
      <c r="E25" s="1"/>
    </row>
    <row r="26" spans="1:5">
      <c r="A26" t="s">
        <v>361</v>
      </c>
      <c r="D26" s="1">
        <f>ROUND((C9-C15-D21-D24)/C14*C20,2)</f>
        <v>13686.13</v>
      </c>
      <c r="E26" s="1">
        <f>ROUND((C9-C15-E21-E24)/C14*C20,2)</f>
        <v>9124.08</v>
      </c>
    </row>
    <row r="27" spans="1:5">
      <c r="A27" t="s">
        <v>365</v>
      </c>
      <c r="B27" s="1"/>
      <c r="C27" s="1"/>
      <c r="D27" s="1">
        <f>ROUND((C8-D22-D24)/C14*C20,2)</f>
        <v>11622.66</v>
      </c>
      <c r="E27" s="1">
        <f>ROUND((C8-E22-E24)/C14*C20,2)</f>
        <v>7060.62</v>
      </c>
    </row>
    <row r="28" spans="1:5">
      <c r="B28" s="20"/>
      <c r="C28" s="20"/>
      <c r="D28" s="20"/>
      <c r="E28" s="20"/>
    </row>
    <row r="30" spans="1:5">
      <c r="A30" t="s">
        <v>228</v>
      </c>
      <c r="B30" s="5"/>
      <c r="C30" s="5"/>
      <c r="D30" s="5">
        <f>C5</f>
        <v>12164247</v>
      </c>
      <c r="E30" s="5">
        <f>C5</f>
        <v>12164247</v>
      </c>
    </row>
    <row r="31" spans="1:5">
      <c r="A31" t="s">
        <v>229</v>
      </c>
      <c r="B31" s="5"/>
      <c r="C31" s="5"/>
      <c r="D31" s="5">
        <f>C6+D21+D26</f>
        <v>6429681.1000000015</v>
      </c>
      <c r="E31" s="5">
        <f>C6+E21+E26</f>
        <v>6425119.0500000017</v>
      </c>
    </row>
    <row r="32" spans="1:5">
      <c r="A32" t="s">
        <v>334</v>
      </c>
      <c r="D32" s="5">
        <f>D24</f>
        <v>2748252.0299999984</v>
      </c>
      <c r="E32" s="5">
        <f>E24</f>
        <v>3748252.0299999984</v>
      </c>
    </row>
    <row r="33" spans="1:5" ht="15" thickBot="1">
      <c r="A33" t="s">
        <v>335</v>
      </c>
      <c r="B33" s="8"/>
      <c r="C33" s="8"/>
      <c r="D33" s="8">
        <f>D30-D31-D32</f>
        <v>2986313.87</v>
      </c>
      <c r="E33" s="8">
        <f>E30-E31-E32</f>
        <v>1990875.92</v>
      </c>
    </row>
    <row r="34" spans="1:5" ht="15.6" thickTop="1" thickBot="1">
      <c r="A34" t="s">
        <v>237</v>
      </c>
      <c r="B34" s="8"/>
      <c r="C34" s="8"/>
      <c r="D34" s="8">
        <f>C8-D22-D24-D27</f>
        <v>2536065.2500000009</v>
      </c>
      <c r="E34" s="8">
        <f>C8-E22-E24-E27</f>
        <v>1540627.290000001</v>
      </c>
    </row>
    <row r="35" spans="1:5" ht="15" thickTop="1"/>
    <row r="36" spans="1:5">
      <c r="A36" t="s">
        <v>231</v>
      </c>
      <c r="D36" s="16">
        <f>C14-C20</f>
        <v>2182</v>
      </c>
      <c r="E36" s="16">
        <f>C14-C20</f>
        <v>2182</v>
      </c>
    </row>
    <row r="38" spans="1:5">
      <c r="A38" t="s">
        <v>336</v>
      </c>
      <c r="B38" s="1"/>
      <c r="C38" s="1"/>
      <c r="D38" s="1">
        <f>ROUND((D33-C15)/D36*365,2)</f>
        <v>499543.63</v>
      </c>
      <c r="E38" s="1">
        <f>ROUND((E33-C15)/E36*365,2)</f>
        <v>333029.03000000003</v>
      </c>
    </row>
    <row r="39" spans="1:5">
      <c r="A39" t="s">
        <v>348</v>
      </c>
      <c r="D39" s="1">
        <f>ROUND(D34/D36*365,2)</f>
        <v>424227.23</v>
      </c>
      <c r="E39" s="1">
        <f>ROUND(E34/E36*365,2)</f>
        <v>257712.63</v>
      </c>
    </row>
    <row r="42" spans="1:5">
      <c r="A42" t="s">
        <v>228</v>
      </c>
      <c r="B42" s="5"/>
      <c r="C42" s="5"/>
      <c r="D42" s="5">
        <f>C5</f>
        <v>12164247</v>
      </c>
      <c r="E42" s="5">
        <f>C5</f>
        <v>12164247</v>
      </c>
    </row>
    <row r="43" spans="1:5">
      <c r="A43" t="s">
        <v>229</v>
      </c>
      <c r="B43" s="5"/>
      <c r="C43" s="5"/>
      <c r="D43" s="5">
        <f>D31+D38</f>
        <v>6929224.7300000014</v>
      </c>
      <c r="E43" s="5">
        <f>E31+E38</f>
        <v>6758148.0800000019</v>
      </c>
    </row>
    <row r="44" spans="1:5">
      <c r="A44" t="s">
        <v>334</v>
      </c>
      <c r="D44" s="5">
        <f>D32</f>
        <v>2748252.0299999984</v>
      </c>
      <c r="E44" s="5">
        <f>E32</f>
        <v>3748252.0299999984</v>
      </c>
    </row>
    <row r="45" spans="1:5" ht="15" thickBot="1">
      <c r="A45" t="s">
        <v>335</v>
      </c>
      <c r="B45" s="8"/>
      <c r="C45" s="8"/>
      <c r="D45" s="8">
        <f>D42-D43-D44</f>
        <v>2486770.2400000002</v>
      </c>
      <c r="E45" s="8">
        <f>E42-E43-E44</f>
        <v>1657846.8899999997</v>
      </c>
    </row>
    <row r="46" spans="1:5" ht="15.6" thickTop="1" thickBot="1">
      <c r="A46" t="s">
        <v>237</v>
      </c>
      <c r="B46" s="8"/>
      <c r="C46" s="8"/>
      <c r="D46" s="8">
        <f>D34-D39</f>
        <v>2111838.0200000009</v>
      </c>
      <c r="E46" s="8">
        <f>E34-E39</f>
        <v>1282914.6600000011</v>
      </c>
    </row>
    <row r="47" spans="1:5" ht="15" thickTop="1"/>
    <row r="48" spans="1:5">
      <c r="D48" s="16">
        <f>D36-365</f>
        <v>1817</v>
      </c>
      <c r="E48" s="16">
        <f>E36-365</f>
        <v>1817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077E-CB79-4EE0-8467-9F9A74AB08B4}">
  <dimension ref="A3:E48"/>
  <sheetViews>
    <sheetView topLeftCell="A33" workbookViewId="0">
      <selection activeCell="D48" sqref="D48"/>
    </sheetView>
  </sheetViews>
  <sheetFormatPr defaultRowHeight="14.45"/>
  <cols>
    <col min="1" max="1" width="33.7109375" bestFit="1" customWidth="1"/>
    <col min="2" max="5" width="18.7109375" customWidth="1"/>
  </cols>
  <sheetData>
    <row r="3" spans="1:5" ht="28.9">
      <c r="B3" s="10" t="s">
        <v>337</v>
      </c>
      <c r="C3" s="9" t="s">
        <v>338</v>
      </c>
      <c r="D3" s="9" t="s">
        <v>363</v>
      </c>
      <c r="E3" s="9" t="s">
        <v>368</v>
      </c>
    </row>
    <row r="5" spans="1:5">
      <c r="A5" t="s">
        <v>228</v>
      </c>
      <c r="B5" s="5">
        <v>14067803.82</v>
      </c>
      <c r="C5" s="15">
        <v>12164247</v>
      </c>
      <c r="D5" s="5"/>
      <c r="E5" s="5"/>
    </row>
    <row r="6" spans="1:5">
      <c r="A6" t="s">
        <v>341</v>
      </c>
      <c r="B6" s="5">
        <v>9749246.0800000001</v>
      </c>
      <c r="C6" s="15">
        <v>6020788.8300000019</v>
      </c>
      <c r="D6" s="5"/>
      <c r="E6" s="5"/>
    </row>
    <row r="7" spans="1:5">
      <c r="A7" t="s">
        <v>342</v>
      </c>
      <c r="B7" s="5"/>
      <c r="C7" s="5"/>
      <c r="D7" s="5"/>
      <c r="E7" s="5"/>
    </row>
    <row r="8" spans="1:5">
      <c r="A8" s="5" t="s">
        <v>343</v>
      </c>
      <c r="B8" s="5">
        <v>3835148.17</v>
      </c>
      <c r="C8" s="15">
        <v>5660048.5999999996</v>
      </c>
      <c r="D8" s="5"/>
      <c r="E8" s="5"/>
    </row>
    <row r="9" spans="1:5">
      <c r="A9" t="s">
        <v>335</v>
      </c>
      <c r="B9" s="21">
        <f>B5-B6</f>
        <v>4318557.74</v>
      </c>
      <c r="C9" s="21">
        <f>C5-C6</f>
        <v>6143458.1699999981</v>
      </c>
      <c r="D9" s="21"/>
      <c r="E9" s="21"/>
    </row>
    <row r="10" spans="1:5">
      <c r="B10" s="5"/>
      <c r="C10" s="5"/>
      <c r="D10" s="5"/>
      <c r="E10" s="5"/>
    </row>
    <row r="11" spans="1:5">
      <c r="A11" t="s">
        <v>367</v>
      </c>
      <c r="B11" s="5"/>
      <c r="C11" s="5"/>
      <c r="D11" s="5">
        <v>3000000</v>
      </c>
      <c r="E11" s="5">
        <v>4000000</v>
      </c>
    </row>
    <row r="12" spans="1:5">
      <c r="A12" t="s">
        <v>230</v>
      </c>
      <c r="C12" s="17">
        <v>10957.5</v>
      </c>
      <c r="D12" s="1"/>
      <c r="E12" s="1"/>
    </row>
    <row r="13" spans="1:5">
      <c r="A13" t="s">
        <v>231</v>
      </c>
      <c r="B13" s="3"/>
      <c r="C13" s="16">
        <v>5534</v>
      </c>
      <c r="D13" s="1"/>
      <c r="E13" s="1"/>
    </row>
    <row r="14" spans="1:5">
      <c r="A14" t="s">
        <v>277</v>
      </c>
      <c r="B14" s="3"/>
      <c r="C14" s="16">
        <v>2192</v>
      </c>
      <c r="D14" s="1"/>
      <c r="E14" s="1"/>
    </row>
    <row r="15" spans="1:5">
      <c r="A15" t="s">
        <v>331</v>
      </c>
      <c r="C15">
        <v>1</v>
      </c>
      <c r="D15" s="1"/>
      <c r="E15" s="1"/>
    </row>
    <row r="16" spans="1:5">
      <c r="A16" t="s">
        <v>344</v>
      </c>
      <c r="C16" s="3">
        <v>45108</v>
      </c>
      <c r="D16" s="1"/>
      <c r="E16" s="1"/>
    </row>
    <row r="17" spans="1:5">
      <c r="A17" t="s">
        <v>275</v>
      </c>
      <c r="B17" s="3"/>
      <c r="C17" s="3">
        <v>45463</v>
      </c>
      <c r="D17" s="1"/>
      <c r="E17" s="1"/>
    </row>
    <row r="18" spans="1:5">
      <c r="B18" s="3"/>
      <c r="C18" s="3">
        <v>45473</v>
      </c>
      <c r="D18" s="1"/>
      <c r="E18" s="1"/>
    </row>
    <row r="19" spans="1:5">
      <c r="A19" t="s">
        <v>358</v>
      </c>
      <c r="C19">
        <f>C17-C16+1</f>
        <v>356</v>
      </c>
      <c r="D19" s="1"/>
      <c r="E19" s="1"/>
    </row>
    <row r="20" spans="1:5">
      <c r="A20" t="s">
        <v>359</v>
      </c>
      <c r="C20">
        <f>C18-C16+1-C19</f>
        <v>10</v>
      </c>
      <c r="D20" s="1"/>
      <c r="E20" s="1"/>
    </row>
    <row r="21" spans="1:5">
      <c r="A21" t="s">
        <v>333</v>
      </c>
      <c r="B21" s="1"/>
      <c r="C21" s="1"/>
      <c r="D21" s="1">
        <f>ROUND((C9-C15)/C13*C19,2)</f>
        <v>395206.14</v>
      </c>
      <c r="E21" s="1">
        <f>ROUND((C9-C15)/C13*C19,2)</f>
        <v>395206.14</v>
      </c>
    </row>
    <row r="22" spans="1:5">
      <c r="A22" t="s">
        <v>364</v>
      </c>
      <c r="B22" s="1"/>
      <c r="C22" s="1"/>
      <c r="D22" s="1">
        <f>ROUND(C8/C13*C19,2)</f>
        <v>364108.66</v>
      </c>
      <c r="E22" s="1">
        <f>ROUND(C8/C13*C19,2)</f>
        <v>364108.66</v>
      </c>
    </row>
    <row r="23" spans="1:5">
      <c r="B23" s="1"/>
      <c r="C23" s="1"/>
      <c r="D23" s="1"/>
      <c r="E23" s="1"/>
    </row>
    <row r="24" spans="1:5">
      <c r="A24" t="s">
        <v>360</v>
      </c>
      <c r="B24" s="1"/>
      <c r="C24" s="1"/>
      <c r="D24" s="1">
        <f>-D11+(C9-D21)</f>
        <v>2748252.0299999984</v>
      </c>
      <c r="E24" s="1">
        <f>-E11+(C9-E21)</f>
        <v>1748252.0299999984</v>
      </c>
    </row>
    <row r="25" spans="1:5">
      <c r="D25" s="1"/>
      <c r="E25" s="1"/>
    </row>
    <row r="26" spans="1:5">
      <c r="A26" t="s">
        <v>361</v>
      </c>
      <c r="D26" s="1">
        <f>ROUND((C9-C15-D21-D24)/C14*C20,2)</f>
        <v>13686.13</v>
      </c>
      <c r="E26" s="1">
        <f>ROUND((C9-C15-E21-E24)/C14*C20,2)</f>
        <v>18248.169999999998</v>
      </c>
    </row>
    <row r="27" spans="1:5">
      <c r="A27" t="s">
        <v>365</v>
      </c>
      <c r="B27" s="1"/>
      <c r="C27" s="1"/>
      <c r="D27" s="1">
        <f>ROUND((C8-D22-D24)/C14*C20,2)</f>
        <v>11622.66</v>
      </c>
      <c r="E27" s="1">
        <f>ROUND((C8-E22-E24)/C14*C20,2)</f>
        <v>16184.71</v>
      </c>
    </row>
    <row r="28" spans="1:5">
      <c r="B28" s="20"/>
      <c r="C28" s="20"/>
      <c r="D28" s="20"/>
      <c r="E28" s="20"/>
    </row>
    <row r="30" spans="1:5">
      <c r="A30" t="s">
        <v>228</v>
      </c>
      <c r="B30" s="5"/>
      <c r="C30" s="5"/>
      <c r="D30" s="5">
        <f>C5</f>
        <v>12164247</v>
      </c>
      <c r="E30" s="5">
        <f>C5</f>
        <v>12164247</v>
      </c>
    </row>
    <row r="31" spans="1:5">
      <c r="A31" t="s">
        <v>229</v>
      </c>
      <c r="B31" s="5"/>
      <c r="C31" s="5"/>
      <c r="D31" s="5">
        <f>C6+D21+D26</f>
        <v>6429681.1000000015</v>
      </c>
      <c r="E31" s="5">
        <f>C6+E21+E26</f>
        <v>6434243.1400000015</v>
      </c>
    </row>
    <row r="32" spans="1:5">
      <c r="A32" t="s">
        <v>334</v>
      </c>
      <c r="D32" s="5">
        <f>D24</f>
        <v>2748252.0299999984</v>
      </c>
      <c r="E32" s="5">
        <f>E24</f>
        <v>1748252.0299999984</v>
      </c>
    </row>
    <row r="33" spans="1:5" ht="15" thickBot="1">
      <c r="A33" t="s">
        <v>335</v>
      </c>
      <c r="B33" s="8"/>
      <c r="C33" s="8"/>
      <c r="D33" s="8">
        <f>D30-D31-D32</f>
        <v>2986313.87</v>
      </c>
      <c r="E33" s="8">
        <f>E30-E31-E32</f>
        <v>3981751.83</v>
      </c>
    </row>
    <row r="34" spans="1:5" ht="15.6" thickTop="1" thickBot="1">
      <c r="A34" t="s">
        <v>237</v>
      </c>
      <c r="B34" s="8"/>
      <c r="C34" s="8"/>
      <c r="D34" s="8">
        <f>C8-D22-D24-D27</f>
        <v>2536065.2500000009</v>
      </c>
      <c r="E34" s="8">
        <f>C8-E22-E24-E27</f>
        <v>3531503.2000000011</v>
      </c>
    </row>
    <row r="35" spans="1:5" ht="15" thickTop="1"/>
    <row r="36" spans="1:5">
      <c r="A36" t="s">
        <v>231</v>
      </c>
      <c r="D36" s="16">
        <f>C14-C20</f>
        <v>2182</v>
      </c>
      <c r="E36" s="16">
        <f>C14-C20</f>
        <v>2182</v>
      </c>
    </row>
    <row r="38" spans="1:5">
      <c r="A38" t="s">
        <v>336</v>
      </c>
      <c r="B38" s="1"/>
      <c r="C38" s="1"/>
      <c r="D38" s="1">
        <f>ROUND((D33-C15)/D36*365,2)</f>
        <v>499543.63</v>
      </c>
      <c r="E38" s="1">
        <f>ROUND((E33-C15)/E36*365,2)</f>
        <v>666058.23</v>
      </c>
    </row>
    <row r="39" spans="1:5">
      <c r="A39" t="s">
        <v>348</v>
      </c>
      <c r="D39" s="1">
        <f>ROUND(D34/D36*365,2)</f>
        <v>424227.23</v>
      </c>
      <c r="E39" s="1">
        <f>ROUND(E34/E36*365,2)</f>
        <v>590741.82999999996</v>
      </c>
    </row>
    <row r="42" spans="1:5">
      <c r="A42" t="s">
        <v>228</v>
      </c>
      <c r="B42" s="5"/>
      <c r="C42" s="5"/>
      <c r="D42" s="5">
        <f>C5</f>
        <v>12164247</v>
      </c>
      <c r="E42" s="5">
        <f>C5</f>
        <v>12164247</v>
      </c>
    </row>
    <row r="43" spans="1:5">
      <c r="A43" t="s">
        <v>229</v>
      </c>
      <c r="B43" s="5"/>
      <c r="C43" s="5"/>
      <c r="D43" s="5">
        <f>D31+D38</f>
        <v>6929224.7300000014</v>
      </c>
      <c r="E43" s="5">
        <f>E31+E38</f>
        <v>7100301.370000001</v>
      </c>
    </row>
    <row r="44" spans="1:5">
      <c r="A44" t="s">
        <v>334</v>
      </c>
      <c r="D44" s="5">
        <f>D32</f>
        <v>2748252.0299999984</v>
      </c>
      <c r="E44" s="5">
        <f>E32</f>
        <v>1748252.0299999984</v>
      </c>
    </row>
    <row r="45" spans="1:5" ht="15" thickBot="1">
      <c r="A45" t="s">
        <v>335</v>
      </c>
      <c r="B45" s="8"/>
      <c r="C45" s="8"/>
      <c r="D45" s="8">
        <f>D42-D43-D44</f>
        <v>2486770.2400000002</v>
      </c>
      <c r="E45" s="8">
        <f>E42-E43-E44</f>
        <v>3315693.6000000006</v>
      </c>
    </row>
    <row r="46" spans="1:5" ht="15.6" thickTop="1" thickBot="1">
      <c r="A46" t="s">
        <v>237</v>
      </c>
      <c r="B46" s="8"/>
      <c r="C46" s="8"/>
      <c r="D46" s="8">
        <f>D34-D39</f>
        <v>2111838.0200000009</v>
      </c>
      <c r="E46" s="8">
        <f>E34-E39</f>
        <v>2940761.370000001</v>
      </c>
    </row>
    <row r="47" spans="1:5" ht="15" thickTop="1"/>
    <row r="48" spans="1:5">
      <c r="D48" s="16">
        <f>D36-365</f>
        <v>1817</v>
      </c>
      <c r="E48" s="16">
        <f>E36-365</f>
        <v>1817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8A70-B37A-40AB-858E-2E6CF3D93D2C}">
  <dimension ref="A2:H53"/>
  <sheetViews>
    <sheetView workbookViewId="0">
      <selection activeCell="C53" sqref="C53:E53"/>
    </sheetView>
  </sheetViews>
  <sheetFormatPr defaultRowHeight="14.45"/>
  <cols>
    <col min="1" max="1" width="33.7109375" bestFit="1" customWidth="1"/>
    <col min="2" max="5" width="18.7109375" customWidth="1"/>
    <col min="6" max="6" width="13.140625" bestFit="1" customWidth="1"/>
  </cols>
  <sheetData>
    <row r="2" spans="1:5">
      <c r="D2">
        <v>8.1</v>
      </c>
      <c r="E2">
        <v>8.1999999999999993</v>
      </c>
    </row>
    <row r="3" spans="1:5" ht="28.9">
      <c r="B3" s="9" t="s">
        <v>369</v>
      </c>
      <c r="C3" s="9" t="s">
        <v>370</v>
      </c>
      <c r="D3" s="9" t="s">
        <v>371</v>
      </c>
      <c r="E3" s="9" t="s">
        <v>372</v>
      </c>
    </row>
    <row r="5" spans="1:5">
      <c r="A5" t="s">
        <v>228</v>
      </c>
      <c r="B5" s="5">
        <v>3046098.51</v>
      </c>
      <c r="C5" s="5">
        <v>3046098.51</v>
      </c>
      <c r="D5" s="5">
        <v>3046098.51</v>
      </c>
      <c r="E5" s="5">
        <v>3046098.51</v>
      </c>
    </row>
    <row r="6" spans="1:5">
      <c r="A6" t="s">
        <v>230</v>
      </c>
      <c r="B6">
        <v>3650</v>
      </c>
      <c r="C6">
        <v>3650</v>
      </c>
      <c r="D6">
        <v>3650</v>
      </c>
      <c r="E6">
        <v>3650</v>
      </c>
    </row>
    <row r="7" spans="1:5">
      <c r="A7" t="s">
        <v>296</v>
      </c>
      <c r="B7" s="3">
        <v>44941</v>
      </c>
      <c r="C7" s="3">
        <v>44941</v>
      </c>
      <c r="D7" s="3">
        <v>44941</v>
      </c>
      <c r="E7" s="3">
        <v>44941</v>
      </c>
    </row>
    <row r="8" spans="1:5">
      <c r="A8" t="s">
        <v>331</v>
      </c>
      <c r="B8">
        <v>1</v>
      </c>
      <c r="C8">
        <v>1</v>
      </c>
      <c r="D8">
        <v>1</v>
      </c>
      <c r="E8">
        <v>1</v>
      </c>
    </row>
    <row r="9" spans="1:5">
      <c r="A9" t="s">
        <v>275</v>
      </c>
      <c r="B9" s="3">
        <v>45097</v>
      </c>
      <c r="C9" s="3">
        <v>45097</v>
      </c>
      <c r="D9" s="3">
        <v>45097</v>
      </c>
      <c r="E9" s="3">
        <v>45097</v>
      </c>
    </row>
    <row r="10" spans="1:5">
      <c r="B10" s="3">
        <v>45107</v>
      </c>
      <c r="C10" s="3">
        <v>45107</v>
      </c>
      <c r="D10" s="3">
        <v>45107</v>
      </c>
      <c r="E10" s="3">
        <v>45107</v>
      </c>
    </row>
    <row r="11" spans="1:5">
      <c r="A11" t="s">
        <v>373</v>
      </c>
      <c r="B11">
        <f>B9-B7+1</f>
        <v>157</v>
      </c>
      <c r="C11">
        <f>C9-C7+1</f>
        <v>157</v>
      </c>
      <c r="D11">
        <f>D9-D7+1</f>
        <v>157</v>
      </c>
      <c r="E11">
        <f>E9-E7+1</f>
        <v>157</v>
      </c>
    </row>
    <row r="12" spans="1:5">
      <c r="A12" t="s">
        <v>374</v>
      </c>
      <c r="B12">
        <f>B10-B7+1-B11</f>
        <v>10</v>
      </c>
      <c r="C12">
        <f>C10-C7+1-C11</f>
        <v>10</v>
      </c>
      <c r="D12">
        <f>D10-D7+1-D11</f>
        <v>10</v>
      </c>
      <c r="E12">
        <f>E10-E7+1-E11</f>
        <v>10</v>
      </c>
    </row>
    <row r="13" spans="1:5">
      <c r="A13" t="s">
        <v>375</v>
      </c>
      <c r="B13" s="1">
        <f>ROUND((B5-B8)/B6*B11,2)</f>
        <v>131023.92</v>
      </c>
      <c r="C13" s="1">
        <f>ROUND((C5-C8)/C6*C11,2)</f>
        <v>131023.92</v>
      </c>
      <c r="D13" s="1">
        <f>ROUND((D5-D8)/D6*D11,2)</f>
        <v>131023.92</v>
      </c>
      <c r="E13" s="1">
        <f>ROUND((E5-E8)/E6*E11,2)</f>
        <v>131023.92</v>
      </c>
    </row>
    <row r="14" spans="1:5">
      <c r="B14" s="1"/>
      <c r="C14" s="1"/>
      <c r="D14" s="1"/>
      <c r="E14" s="1"/>
    </row>
    <row r="15" spans="1:5">
      <c r="A15" t="s">
        <v>376</v>
      </c>
      <c r="B15" s="1"/>
      <c r="C15" s="1">
        <v>1200000</v>
      </c>
      <c r="D15" s="1">
        <v>1200000</v>
      </c>
      <c r="E15" s="1">
        <v>1200000</v>
      </c>
    </row>
    <row r="16" spans="1:5">
      <c r="A16" t="s">
        <v>360</v>
      </c>
      <c r="B16" s="1"/>
      <c r="C16" s="1">
        <f>C5-C13-C15</f>
        <v>1715074.5899999999</v>
      </c>
      <c r="D16" s="1">
        <f>D5-D13-D15</f>
        <v>1715074.5899999999</v>
      </c>
      <c r="E16" s="1">
        <f>E5-E13-E15</f>
        <v>1715074.5899999999</v>
      </c>
    </row>
    <row r="17" spans="1:5">
      <c r="A17" t="s">
        <v>277</v>
      </c>
      <c r="B17" s="1"/>
      <c r="C17" s="1">
        <v>1460</v>
      </c>
      <c r="D17" s="1">
        <v>1460</v>
      </c>
      <c r="E17" s="1">
        <v>1460</v>
      </c>
    </row>
    <row r="19" spans="1:5">
      <c r="A19" t="s">
        <v>361</v>
      </c>
      <c r="B19" s="1">
        <f>ROUND((B5-B8)/B6*B12,2)</f>
        <v>8345.4699999999993</v>
      </c>
      <c r="C19" s="1">
        <f>ROUND((C5-C13-C16-C8)/C17*C12,2)</f>
        <v>8219.17</v>
      </c>
      <c r="D19" s="1">
        <f>ROUND((D5-D13-D16-D8)/D17*D12,2)</f>
        <v>8219.17</v>
      </c>
      <c r="E19" s="1">
        <f>ROUND((E5-E13-E16-E8)/E17*E12,2)</f>
        <v>8219.17</v>
      </c>
    </row>
    <row r="20" spans="1:5">
      <c r="B20" s="20"/>
      <c r="C20" s="20"/>
      <c r="D20" s="20"/>
      <c r="E20" s="20"/>
    </row>
    <row r="21" spans="1:5">
      <c r="A21" s="24">
        <v>2023</v>
      </c>
    </row>
    <row r="22" spans="1:5">
      <c r="A22" t="s">
        <v>228</v>
      </c>
      <c r="B22" s="5">
        <f>B5</f>
        <v>3046098.51</v>
      </c>
      <c r="C22" s="5">
        <f>C5</f>
        <v>3046098.51</v>
      </c>
      <c r="D22" s="5">
        <f>D5</f>
        <v>3046098.51</v>
      </c>
      <c r="E22" s="5">
        <f>E5</f>
        <v>3046098.51</v>
      </c>
    </row>
    <row r="23" spans="1:5">
      <c r="A23" t="s">
        <v>229</v>
      </c>
      <c r="B23" s="5">
        <f>B13+B19</f>
        <v>139369.38999999998</v>
      </c>
      <c r="C23" s="5">
        <f>C13+C19</f>
        <v>139243.09</v>
      </c>
      <c r="D23" s="5">
        <f>D13+D19</f>
        <v>139243.09</v>
      </c>
      <c r="E23" s="5">
        <f>E13+E19</f>
        <v>139243.09</v>
      </c>
    </row>
    <row r="24" spans="1:5">
      <c r="A24" t="s">
        <v>334</v>
      </c>
      <c r="C24" s="5">
        <f>C16</f>
        <v>1715074.5899999999</v>
      </c>
      <c r="D24" s="5">
        <f>D16</f>
        <v>1715074.5899999999</v>
      </c>
      <c r="E24" s="5">
        <f>E16</f>
        <v>1715074.5899999999</v>
      </c>
    </row>
    <row r="25" spans="1:5" ht="15" thickBot="1">
      <c r="A25" t="s">
        <v>335</v>
      </c>
      <c r="B25" s="8">
        <f>B22-B23-B24</f>
        <v>2906729.1199999996</v>
      </c>
      <c r="C25" s="8">
        <f>C22-C23-C24</f>
        <v>1191780.83</v>
      </c>
      <c r="D25" s="8">
        <f>D22-D23-D24</f>
        <v>1191780.83</v>
      </c>
      <c r="E25" s="8">
        <f>E22-E23-E24</f>
        <v>1191780.83</v>
      </c>
    </row>
    <row r="26" spans="1:5" ht="15" thickTop="1"/>
    <row r="27" spans="1:5">
      <c r="A27" t="s">
        <v>231</v>
      </c>
      <c r="B27">
        <f>B6-B11-B12</f>
        <v>3483</v>
      </c>
      <c r="C27" s="5">
        <f>C17-C12</f>
        <v>1450</v>
      </c>
      <c r="D27" s="5">
        <f>D17-D12</f>
        <v>1450</v>
      </c>
      <c r="E27" s="5">
        <f>E17-E12</f>
        <v>1450</v>
      </c>
    </row>
    <row r="29" spans="1:5">
      <c r="A29" t="s">
        <v>377</v>
      </c>
      <c r="B29" s="3">
        <v>45275</v>
      </c>
      <c r="C29" s="3">
        <v>45275</v>
      </c>
      <c r="D29" s="3">
        <v>45275</v>
      </c>
      <c r="E29" s="3">
        <v>45275</v>
      </c>
    </row>
    <row r="30" spans="1:5">
      <c r="B30" s="3">
        <v>45473</v>
      </c>
      <c r="C30" s="3">
        <v>45473</v>
      </c>
      <c r="D30" s="3">
        <v>45473</v>
      </c>
      <c r="E30" s="3">
        <v>45473</v>
      </c>
    </row>
    <row r="31" spans="1:5">
      <c r="A31" t="s">
        <v>378</v>
      </c>
      <c r="B31">
        <f>B29-B10</f>
        <v>168</v>
      </c>
      <c r="C31">
        <f>C29-C10</f>
        <v>168</v>
      </c>
      <c r="D31">
        <f>D29-D10</f>
        <v>168</v>
      </c>
      <c r="E31">
        <f>E29-E10</f>
        <v>168</v>
      </c>
    </row>
    <row r="32" spans="1:5">
      <c r="A32" t="s">
        <v>379</v>
      </c>
      <c r="B32">
        <f>B30-B29</f>
        <v>198</v>
      </c>
      <c r="C32">
        <f>C30-C29</f>
        <v>198</v>
      </c>
      <c r="D32">
        <f>D30-D29</f>
        <v>198</v>
      </c>
      <c r="E32">
        <f>E30-E29</f>
        <v>198</v>
      </c>
    </row>
    <row r="34" spans="1:8">
      <c r="A34" t="s">
        <v>380</v>
      </c>
      <c r="B34" s="1">
        <f>ROUND((B25-B8)/B27*B31,2)</f>
        <v>140203.94</v>
      </c>
      <c r="C34" s="1">
        <f>ROUND((C25-C8)/C27*C31,2)</f>
        <v>138082.07999999999</v>
      </c>
      <c r="D34" s="1">
        <f>ROUND((D25-D8)/D27*D31,2)</f>
        <v>138082.07999999999</v>
      </c>
      <c r="E34" s="1">
        <f>ROUND((E25-E8)/E27*E31,2)</f>
        <v>138082.07999999999</v>
      </c>
      <c r="H34" s="5"/>
    </row>
    <row r="35" spans="1:8">
      <c r="A35" t="s">
        <v>381</v>
      </c>
      <c r="B35" s="1">
        <f>ROUND((B25-B8)/B27*B32,2)</f>
        <v>165240.35999999999</v>
      </c>
      <c r="C35" s="1">
        <f>ROUND((C25-C8)/C27*C32,2)</f>
        <v>162739.59</v>
      </c>
      <c r="D35" s="1">
        <f>ROUND((D25-D34+D36-D8)/D37*D32,2)</f>
        <v>165240.35999999999</v>
      </c>
      <c r="E35" s="1">
        <f>ROUND((E25-E34+E36-E8)/E37*E32,2)</f>
        <v>165180.99</v>
      </c>
    </row>
    <row r="36" spans="1:8">
      <c r="A36" t="s">
        <v>382</v>
      </c>
      <c r="B36" s="5">
        <f>B25-B34</f>
        <v>2766525.1799999997</v>
      </c>
      <c r="D36" s="5">
        <f>B36-(D25-D34)</f>
        <v>1712826.4299999997</v>
      </c>
      <c r="E36" s="5">
        <v>800000</v>
      </c>
    </row>
    <row r="37" spans="1:8">
      <c r="A37" t="s">
        <v>383</v>
      </c>
      <c r="B37" s="5">
        <f>B27-B31</f>
        <v>3315</v>
      </c>
      <c r="C37" s="5"/>
      <c r="D37" s="5">
        <f>B37</f>
        <v>3315</v>
      </c>
      <c r="E37" s="5">
        <v>2222</v>
      </c>
      <c r="F37" s="5"/>
    </row>
    <row r="39" spans="1:8">
      <c r="A39" t="s">
        <v>228</v>
      </c>
      <c r="B39" s="5">
        <f>B5</f>
        <v>3046098.51</v>
      </c>
      <c r="C39" s="5">
        <f>C5</f>
        <v>3046098.51</v>
      </c>
      <c r="D39" s="5">
        <f>D5</f>
        <v>3046098.51</v>
      </c>
      <c r="E39" s="5">
        <f>E5</f>
        <v>3046098.51</v>
      </c>
    </row>
    <row r="40" spans="1:8">
      <c r="A40" t="s">
        <v>229</v>
      </c>
      <c r="B40" s="5">
        <f>B23+B34+B35</f>
        <v>444813.68999999994</v>
      </c>
      <c r="C40" s="5">
        <f>C23+C34+C35</f>
        <v>440064.76</v>
      </c>
      <c r="D40" s="5">
        <f>D23+D34+D35</f>
        <v>442565.52999999997</v>
      </c>
      <c r="E40" s="5">
        <f>E23+E34+E35</f>
        <v>442506.16</v>
      </c>
    </row>
    <row r="41" spans="1:8">
      <c r="A41" t="s">
        <v>334</v>
      </c>
      <c r="C41" s="5">
        <f>C24</f>
        <v>1715074.5899999999</v>
      </c>
      <c r="D41" s="5">
        <f>D24-D36</f>
        <v>2248.160000000149</v>
      </c>
      <c r="E41" s="5">
        <f>E24-E36</f>
        <v>915074.58999999985</v>
      </c>
    </row>
    <row r="42" spans="1:8" ht="15" thickBot="1">
      <c r="A42" t="s">
        <v>335</v>
      </c>
      <c r="B42" s="8">
        <f>B39-B40-B41</f>
        <v>2601284.8199999998</v>
      </c>
      <c r="C42" s="8">
        <f>C39-C40-C41</f>
        <v>890959.16000000015</v>
      </c>
      <c r="D42" s="8">
        <f>D39-D40-D41</f>
        <v>2601284.8199999998</v>
      </c>
      <c r="E42" s="8">
        <f>E39-E40-E41</f>
        <v>1688517.7599999998</v>
      </c>
    </row>
    <row r="43" spans="1:8" ht="15" thickTop="1"/>
    <row r="44" spans="1:8">
      <c r="B44">
        <f>B27-B31-B32</f>
        <v>3117</v>
      </c>
      <c r="C44">
        <f>C27-C31-C32</f>
        <v>1084</v>
      </c>
      <c r="D44" s="5">
        <f>D37-D32</f>
        <v>3117</v>
      </c>
      <c r="E44" s="5">
        <f>E37-E32</f>
        <v>2024</v>
      </c>
    </row>
    <row r="46" spans="1:8">
      <c r="A46" t="s">
        <v>336</v>
      </c>
      <c r="B46" s="1">
        <f>ROUND(B42/B44*365,2)</f>
        <v>304609.87</v>
      </c>
      <c r="C46" s="1">
        <f>ROUND(C42/C44*365,2)</f>
        <v>300000.09000000003</v>
      </c>
      <c r="D46" s="1">
        <f>ROUND(D42/D44*365,2)</f>
        <v>304609.87</v>
      </c>
      <c r="E46" s="1">
        <f>ROUND(E42/E44*365,2)</f>
        <v>304500.49</v>
      </c>
    </row>
    <row r="48" spans="1:8">
      <c r="A48" t="s">
        <v>228</v>
      </c>
      <c r="B48" s="5">
        <f>B22</f>
        <v>3046098.51</v>
      </c>
      <c r="C48" s="5">
        <f>C22</f>
        <v>3046098.51</v>
      </c>
      <c r="D48" s="5">
        <f>D22</f>
        <v>3046098.51</v>
      </c>
      <c r="E48" s="5">
        <f>E22</f>
        <v>3046098.51</v>
      </c>
    </row>
    <row r="49" spans="1:5">
      <c r="A49" t="s">
        <v>229</v>
      </c>
      <c r="B49" s="5">
        <f>B40+B46</f>
        <v>749423.55999999994</v>
      </c>
      <c r="C49" s="5">
        <f>C40+C46</f>
        <v>740064.85000000009</v>
      </c>
      <c r="D49" s="5">
        <f>D40+D46</f>
        <v>747175.39999999991</v>
      </c>
      <c r="E49" s="5">
        <f>E40+E46</f>
        <v>747006.64999999991</v>
      </c>
    </row>
    <row r="50" spans="1:5">
      <c r="A50" t="s">
        <v>334</v>
      </c>
      <c r="C50" s="5">
        <f>C41</f>
        <v>1715074.5899999999</v>
      </c>
      <c r="D50" s="5">
        <f>D41</f>
        <v>2248.160000000149</v>
      </c>
      <c r="E50" s="5">
        <f>E41</f>
        <v>915074.58999999985</v>
      </c>
    </row>
    <row r="51" spans="1:5" ht="15" thickBot="1">
      <c r="A51" t="s">
        <v>335</v>
      </c>
      <c r="B51" s="8">
        <f>B48-B49-B50</f>
        <v>2296674.9499999997</v>
      </c>
      <c r="C51" s="8">
        <f>C48-C49-C50</f>
        <v>590959.06999999983</v>
      </c>
      <c r="D51" s="8">
        <f>D48-D49-D50</f>
        <v>2296674.9499999997</v>
      </c>
      <c r="E51" s="8">
        <f>E48-E49-E50</f>
        <v>1384017.27</v>
      </c>
    </row>
    <row r="52" spans="1:5" ht="15" thickTop="1"/>
    <row r="53" spans="1:5">
      <c r="B53">
        <f>B44-365</f>
        <v>2752</v>
      </c>
      <c r="C53">
        <f t="shared" ref="C53:E53" si="0">C44-365</f>
        <v>719</v>
      </c>
      <c r="D53">
        <f t="shared" si="0"/>
        <v>2752</v>
      </c>
      <c r="E53">
        <f t="shared" si="0"/>
        <v>1659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7FE7-12E1-488C-8BCE-A166E9D4B5B1}">
  <dimension ref="A2:H72"/>
  <sheetViews>
    <sheetView topLeftCell="A3" workbookViewId="0">
      <selection activeCell="C15" sqref="C15"/>
    </sheetView>
  </sheetViews>
  <sheetFormatPr defaultRowHeight="14.45"/>
  <cols>
    <col min="1" max="1" width="33.7109375" bestFit="1" customWidth="1"/>
    <col min="2" max="6" width="18.7109375" customWidth="1"/>
    <col min="7" max="7" width="11.42578125" bestFit="1" customWidth="1"/>
    <col min="8" max="8" width="13.140625" bestFit="1" customWidth="1"/>
  </cols>
  <sheetData>
    <row r="2" spans="1:8">
      <c r="E2">
        <v>9.1</v>
      </c>
      <c r="F2">
        <v>9.1999999999999993</v>
      </c>
    </row>
    <row r="3" spans="1:8" ht="158.44999999999999">
      <c r="B3" s="10" t="s">
        <v>337</v>
      </c>
      <c r="C3" s="9" t="s">
        <v>384</v>
      </c>
      <c r="D3" s="9" t="s">
        <v>363</v>
      </c>
      <c r="E3" s="9" t="s">
        <v>385</v>
      </c>
      <c r="F3" s="9" t="s">
        <v>386</v>
      </c>
      <c r="H3" s="9" t="s">
        <v>387</v>
      </c>
    </row>
    <row r="5" spans="1:8">
      <c r="A5" t="s">
        <v>228</v>
      </c>
      <c r="B5" s="5">
        <v>14067803.82</v>
      </c>
      <c r="C5" s="15">
        <v>12164247</v>
      </c>
      <c r="D5" s="15">
        <v>12164247</v>
      </c>
      <c r="E5" s="15">
        <v>12164247</v>
      </c>
      <c r="F5" s="15">
        <v>12164247</v>
      </c>
    </row>
    <row r="6" spans="1:8">
      <c r="A6" t="s">
        <v>341</v>
      </c>
      <c r="B6" s="5">
        <v>9749246.0800000001</v>
      </c>
      <c r="C6" s="15">
        <v>6020788.8300000019</v>
      </c>
      <c r="D6" s="15">
        <v>6020788.8300000019</v>
      </c>
      <c r="E6" s="15">
        <v>6020788.8300000019</v>
      </c>
      <c r="F6" s="15">
        <v>6020788.8300000019</v>
      </c>
    </row>
    <row r="7" spans="1:8">
      <c r="A7" t="s">
        <v>342</v>
      </c>
      <c r="B7" s="5"/>
      <c r="C7" s="5"/>
      <c r="D7" s="5"/>
      <c r="E7" s="5"/>
      <c r="F7" s="5"/>
    </row>
    <row r="8" spans="1:8">
      <c r="A8" s="5" t="s">
        <v>343</v>
      </c>
      <c r="B8" s="5">
        <v>3835148.17</v>
      </c>
      <c r="C8" s="15">
        <v>5660048.5999999996</v>
      </c>
      <c r="D8" s="15">
        <v>5660048.5999999996</v>
      </c>
      <c r="E8" s="15">
        <v>5660048.5999999996</v>
      </c>
      <c r="F8" s="15">
        <v>5660048.5999999996</v>
      </c>
    </row>
    <row r="9" spans="1:8">
      <c r="A9" t="s">
        <v>335</v>
      </c>
      <c r="B9" s="21">
        <f>B5-B6</f>
        <v>4318557.74</v>
      </c>
      <c r="C9" s="21">
        <f>C5-C6</f>
        <v>6143458.1699999981</v>
      </c>
      <c r="D9" s="21">
        <f>D5-D6</f>
        <v>6143458.1699999981</v>
      </c>
      <c r="E9" s="21">
        <f>E5-E6</f>
        <v>6143458.1699999981</v>
      </c>
      <c r="F9" s="21">
        <f>F5-F6</f>
        <v>6143458.1699999981</v>
      </c>
    </row>
    <row r="10" spans="1:8">
      <c r="B10" s="5"/>
      <c r="C10" s="5"/>
      <c r="D10" s="5"/>
      <c r="E10" s="5"/>
      <c r="F10" s="5"/>
    </row>
    <row r="11" spans="1:8">
      <c r="A11" t="s">
        <v>230</v>
      </c>
      <c r="C11" s="17">
        <v>10957.5</v>
      </c>
      <c r="D11" s="17">
        <v>10957.5</v>
      </c>
      <c r="E11" s="17">
        <v>10957.5</v>
      </c>
      <c r="F11" s="17">
        <v>10957.5</v>
      </c>
    </row>
    <row r="12" spans="1:8">
      <c r="A12" t="s">
        <v>231</v>
      </c>
      <c r="B12" s="3"/>
      <c r="C12" s="16">
        <v>5534</v>
      </c>
      <c r="D12" s="16">
        <v>5534</v>
      </c>
      <c r="E12" s="16">
        <v>5534</v>
      </c>
      <c r="F12" s="16">
        <v>5534</v>
      </c>
    </row>
    <row r="13" spans="1:8">
      <c r="A13" t="s">
        <v>277</v>
      </c>
      <c r="B13" s="3"/>
      <c r="C13" s="16">
        <v>2800</v>
      </c>
      <c r="D13" s="16">
        <v>2800</v>
      </c>
      <c r="E13" s="16">
        <v>2800</v>
      </c>
      <c r="F13" s="16">
        <v>2800</v>
      </c>
    </row>
    <row r="14" spans="1:8">
      <c r="A14" t="s">
        <v>331</v>
      </c>
      <c r="C14">
        <v>1</v>
      </c>
      <c r="D14">
        <v>1</v>
      </c>
      <c r="E14">
        <v>1</v>
      </c>
      <c r="F14">
        <v>1</v>
      </c>
    </row>
    <row r="15" spans="1:8">
      <c r="A15" t="s">
        <v>344</v>
      </c>
      <c r="C15" s="3">
        <v>44743</v>
      </c>
      <c r="D15" s="3">
        <v>44743</v>
      </c>
      <c r="E15" s="3">
        <v>44743</v>
      </c>
      <c r="F15" s="3">
        <v>44743</v>
      </c>
    </row>
    <row r="16" spans="1:8">
      <c r="A16" t="s">
        <v>275</v>
      </c>
      <c r="B16" s="3"/>
      <c r="C16" s="3">
        <v>45097</v>
      </c>
      <c r="D16" s="3">
        <v>45097</v>
      </c>
      <c r="E16" s="3">
        <v>45097</v>
      </c>
      <c r="F16" s="3">
        <v>45097</v>
      </c>
    </row>
    <row r="17" spans="1:6">
      <c r="B17" s="3"/>
      <c r="C17" s="3">
        <v>45107</v>
      </c>
      <c r="D17" s="3">
        <v>45107</v>
      </c>
      <c r="E17" s="3">
        <v>45107</v>
      </c>
      <c r="F17" s="3">
        <v>45107</v>
      </c>
    </row>
    <row r="18" spans="1:6">
      <c r="A18" t="s">
        <v>373</v>
      </c>
      <c r="C18">
        <f>C16-C15+1</f>
        <v>355</v>
      </c>
      <c r="D18">
        <f>D16-D15+1</f>
        <v>355</v>
      </c>
      <c r="E18">
        <f>E16-E15+1</f>
        <v>355</v>
      </c>
      <c r="F18">
        <f>F16-F15+1</f>
        <v>355</v>
      </c>
    </row>
    <row r="19" spans="1:6">
      <c r="A19" t="s">
        <v>374</v>
      </c>
      <c r="C19">
        <f>C17-C15+1-C18</f>
        <v>10</v>
      </c>
      <c r="D19">
        <f>D17-D15+1-D18</f>
        <v>10</v>
      </c>
      <c r="E19">
        <f>E17-E15+1-E18</f>
        <v>10</v>
      </c>
      <c r="F19">
        <f>F17-F15+1-F18</f>
        <v>10</v>
      </c>
    </row>
    <row r="20" spans="1:6">
      <c r="A20" t="s">
        <v>375</v>
      </c>
      <c r="B20" s="1"/>
      <c r="C20" s="1">
        <f>ROUND((C9-C14)/C12*C18,2)</f>
        <v>394096.01</v>
      </c>
      <c r="D20" s="1">
        <f>ROUND((D9-D14)/D12*D18,2)</f>
        <v>394096.01</v>
      </c>
      <c r="E20" s="1">
        <f>ROUND((E9-E14)/E12*E18,2)</f>
        <v>394096.01</v>
      </c>
      <c r="F20" s="1">
        <f>ROUND((F9-F14)/F12*F18,2)</f>
        <v>394096.01</v>
      </c>
    </row>
    <row r="21" spans="1:6">
      <c r="A21" t="s">
        <v>388</v>
      </c>
      <c r="B21" s="1"/>
      <c r="C21" s="1">
        <f>ROUND(C8/C12*C18,2)</f>
        <v>363085.88</v>
      </c>
      <c r="D21" s="1">
        <f>ROUND(D8/D12*D18,2)</f>
        <v>363085.88</v>
      </c>
      <c r="E21" s="1">
        <f>ROUND(E8/E12*E18,2)</f>
        <v>363085.88</v>
      </c>
      <c r="F21" s="1">
        <f>ROUND(F8/F12*F18,2)</f>
        <v>363085.88</v>
      </c>
    </row>
    <row r="22" spans="1:6">
      <c r="B22" s="1"/>
      <c r="C22" s="1"/>
      <c r="D22" s="1"/>
      <c r="E22" s="1"/>
      <c r="F22" s="1"/>
    </row>
    <row r="23" spans="1:6">
      <c r="A23" t="s">
        <v>367</v>
      </c>
      <c r="B23" s="1"/>
      <c r="C23" s="1"/>
      <c r="D23" s="1">
        <v>3000000</v>
      </c>
      <c r="E23" s="1">
        <v>3000000</v>
      </c>
      <c r="F23" s="1">
        <v>3000000</v>
      </c>
    </row>
    <row r="24" spans="1:6">
      <c r="A24" t="s">
        <v>360</v>
      </c>
      <c r="B24" s="1"/>
      <c r="C24" s="1"/>
      <c r="D24" s="1">
        <f>-D23+(D9-D20)</f>
        <v>2749362.1599999983</v>
      </c>
      <c r="E24" s="1">
        <f>-E23+(E9-E20)</f>
        <v>2749362.1599999983</v>
      </c>
      <c r="F24" s="1">
        <f>-F23+(F9-F20)</f>
        <v>2749362.1599999983</v>
      </c>
    </row>
    <row r="26" spans="1:6">
      <c r="A26" t="s">
        <v>389</v>
      </c>
      <c r="C26" s="1">
        <f>ROUND((C9-C14)/(C12)*C19,2)</f>
        <v>11101.3</v>
      </c>
      <c r="D26" s="1">
        <f>ROUND((D9-D14-D20-D24)/(D13)*D19,2)</f>
        <v>10714.28</v>
      </c>
      <c r="E26" s="1">
        <f>ROUND((E9-E14-E20-E24)/(E13)*E19,2)</f>
        <v>10714.28</v>
      </c>
      <c r="F26" s="1">
        <f>ROUND((F9-F14-F20-F24)/(F13)*F19,2)</f>
        <v>10714.28</v>
      </c>
    </row>
    <row r="27" spans="1:6">
      <c r="A27" t="s">
        <v>390</v>
      </c>
      <c r="B27" s="1"/>
      <c r="C27" s="1">
        <f>ROUND(C8/C12*C19,2)</f>
        <v>10227.77</v>
      </c>
      <c r="D27" s="1">
        <f>ROUND((D8-D21-D24)/D13*D19,2)</f>
        <v>9098.57</v>
      </c>
      <c r="E27" s="1">
        <f>ROUND((E8-E21-E24)/E13*E19,2)</f>
        <v>9098.57</v>
      </c>
      <c r="F27" s="1">
        <f>ROUND((F8-F21-F24)/F13*F19,2)</f>
        <v>9098.57</v>
      </c>
    </row>
    <row r="28" spans="1:6">
      <c r="B28" s="20"/>
      <c r="C28" s="20"/>
      <c r="D28" s="20"/>
      <c r="E28" s="20"/>
      <c r="F28" s="20"/>
    </row>
    <row r="30" spans="1:6">
      <c r="A30" t="s">
        <v>228</v>
      </c>
      <c r="B30" s="5"/>
      <c r="C30" s="5">
        <f>C5</f>
        <v>12164247</v>
      </c>
      <c r="D30" s="5">
        <f>D5</f>
        <v>12164247</v>
      </c>
      <c r="E30" s="5">
        <f>E5</f>
        <v>12164247</v>
      </c>
      <c r="F30" s="5">
        <f>F5</f>
        <v>12164247</v>
      </c>
    </row>
    <row r="31" spans="1:6">
      <c r="A31" t="s">
        <v>229</v>
      </c>
      <c r="B31" s="5"/>
      <c r="C31" s="5">
        <f>C6+C20+C26</f>
        <v>6425986.1400000015</v>
      </c>
      <c r="D31" s="5">
        <f>D6+D20+D26</f>
        <v>6425599.120000002</v>
      </c>
      <c r="E31" s="5">
        <f>E6+E20+E26</f>
        <v>6425599.120000002</v>
      </c>
      <c r="F31" s="5">
        <f>F6+F20+F26</f>
        <v>6425599.120000002</v>
      </c>
    </row>
    <row r="32" spans="1:6">
      <c r="A32" t="s">
        <v>334</v>
      </c>
      <c r="D32" s="5">
        <f>D24</f>
        <v>2749362.1599999983</v>
      </c>
      <c r="E32" s="5">
        <f>E24</f>
        <v>2749362.1599999983</v>
      </c>
      <c r="F32" s="5">
        <f>F24</f>
        <v>2749362.1599999983</v>
      </c>
    </row>
    <row r="33" spans="1:8" ht="15" thickBot="1">
      <c r="A33" t="s">
        <v>335</v>
      </c>
      <c r="B33" s="8"/>
      <c r="C33" s="8">
        <f>C30-C31-C32</f>
        <v>5738260.8599999985</v>
      </c>
      <c r="D33" s="8">
        <f>D30-D31-D32</f>
        <v>2989285.7199999997</v>
      </c>
      <c r="E33" s="8">
        <f>E30-E31-E32</f>
        <v>2989285.7199999997</v>
      </c>
      <c r="F33" s="8">
        <f>F30-F31-F32</f>
        <v>2989285.7199999997</v>
      </c>
    </row>
    <row r="34" spans="1:8" ht="15.6" thickTop="1" thickBot="1">
      <c r="A34" t="s">
        <v>237</v>
      </c>
      <c r="B34" s="8"/>
      <c r="C34" s="8">
        <f>C8-C21-C27</f>
        <v>5286734.95</v>
      </c>
      <c r="D34" s="8">
        <f>D8-D21-D27-D24</f>
        <v>2538501.9900000012</v>
      </c>
      <c r="E34" s="8">
        <f>E8-E21-E27-E24</f>
        <v>2538501.9900000012</v>
      </c>
      <c r="F34" s="8">
        <f>F8-F21-F27-F24</f>
        <v>2538501.9900000012</v>
      </c>
    </row>
    <row r="35" spans="1:8" ht="15" thickTop="1"/>
    <row r="36" spans="1:8">
      <c r="A36" t="s">
        <v>231</v>
      </c>
      <c r="B36" s="5"/>
      <c r="C36" s="16">
        <f>C12-C18-C19</f>
        <v>5169</v>
      </c>
      <c r="D36" s="16">
        <f>D13-D19</f>
        <v>2790</v>
      </c>
      <c r="E36" s="16">
        <f>E13-E19</f>
        <v>2790</v>
      </c>
      <c r="F36" s="16">
        <f>F13-F19</f>
        <v>2790</v>
      </c>
    </row>
    <row r="38" spans="1:8">
      <c r="A38" t="s">
        <v>377</v>
      </c>
      <c r="C38" s="3">
        <v>45275</v>
      </c>
      <c r="D38" s="3">
        <v>45275</v>
      </c>
      <c r="E38" s="3">
        <v>45275</v>
      </c>
      <c r="F38" s="3">
        <v>45275</v>
      </c>
    </row>
    <row r="39" spans="1:8">
      <c r="C39" s="3">
        <v>45473</v>
      </c>
      <c r="D39" s="3">
        <v>45473</v>
      </c>
      <c r="E39" s="3">
        <v>45473</v>
      </c>
      <c r="F39" s="3">
        <v>45473</v>
      </c>
    </row>
    <row r="40" spans="1:8">
      <c r="A40" t="s">
        <v>378</v>
      </c>
      <c r="C40">
        <f>C38-C17</f>
        <v>168</v>
      </c>
      <c r="D40">
        <f>D38-D17</f>
        <v>168</v>
      </c>
      <c r="E40">
        <f>E38-E17</f>
        <v>168</v>
      </c>
      <c r="F40">
        <f>F38-F17</f>
        <v>168</v>
      </c>
    </row>
    <row r="41" spans="1:8">
      <c r="A41" t="s">
        <v>379</v>
      </c>
      <c r="C41">
        <f>C39-C38</f>
        <v>198</v>
      </c>
      <c r="D41">
        <f>D39-D38</f>
        <v>198</v>
      </c>
      <c r="E41">
        <f>E39-E38</f>
        <v>198</v>
      </c>
      <c r="F41">
        <f>F39-F38</f>
        <v>198</v>
      </c>
    </row>
    <row r="44" spans="1:8">
      <c r="A44" t="s">
        <v>391</v>
      </c>
      <c r="B44" s="1"/>
      <c r="C44" s="1">
        <f>ROUND((C33-C14)/C36*C40,2)</f>
        <v>186501.77</v>
      </c>
      <c r="D44" s="1">
        <f>ROUND((D33-D14)/D36*D40,2)</f>
        <v>179999.94</v>
      </c>
      <c r="E44" s="1">
        <f>ROUND((E33-E14)/E36*E40,2)</f>
        <v>179999.94</v>
      </c>
      <c r="F44" s="1">
        <f>ROUND((F33-F14)/F36*F40,2)</f>
        <v>179999.94</v>
      </c>
      <c r="G44" s="5"/>
      <c r="H44" s="5"/>
    </row>
    <row r="45" spans="1:8">
      <c r="A45" t="s">
        <v>392</v>
      </c>
      <c r="C45" s="1">
        <f>ROUND(C34/C36*C40,2)</f>
        <v>171826.56</v>
      </c>
      <c r="D45" s="1">
        <f>ROUND((D34)/D36*D40,2)</f>
        <v>152856.03</v>
      </c>
      <c r="E45" s="1">
        <f>ROUND((E34)/E36*E40,2)</f>
        <v>152856.03</v>
      </c>
      <c r="F45" s="1">
        <f>ROUND((F34)/F36*F40,2)</f>
        <v>152856.03</v>
      </c>
      <c r="G45" s="5"/>
      <c r="H45" s="5"/>
    </row>
    <row r="47" spans="1:8">
      <c r="A47" t="s">
        <v>393</v>
      </c>
      <c r="C47" s="1">
        <f>ROUND((C33-C14)/C36*C41,2)</f>
        <v>219805.66</v>
      </c>
      <c r="D47" s="1">
        <f>ROUND((D33-D14)/D36*D41,2)</f>
        <v>212142.79</v>
      </c>
      <c r="E47" s="1">
        <f>ROUND((E33-E14-E44+E50)/E51*E41,2)</f>
        <v>219805.66</v>
      </c>
      <c r="F47" s="1">
        <f>ROUND((F33-F14-F44+F50)/F51*F41,2)</f>
        <v>228840.85</v>
      </c>
    </row>
    <row r="48" spans="1:8">
      <c r="A48" t="s">
        <v>394</v>
      </c>
      <c r="C48" s="1">
        <f>ROUND(C34/C36*C41,2)</f>
        <v>202509.87</v>
      </c>
      <c r="D48" s="1">
        <f>ROUND((D34)/D36*D41,2)</f>
        <v>180151.75</v>
      </c>
      <c r="E48" s="1">
        <f>ROUND((E34-E45+E50)/E51*E41,2)</f>
        <v>203032.92</v>
      </c>
      <c r="F48" s="1">
        <f>ROUND((F34-F45+F50)/F51*F41,2)</f>
        <v>205809.42</v>
      </c>
    </row>
    <row r="50" spans="1:8">
      <c r="A50" t="s">
        <v>382</v>
      </c>
      <c r="C50" s="5">
        <f>C33-C44</f>
        <v>5551759.0899999989</v>
      </c>
      <c r="E50" s="5">
        <f>C50-E33+E44</f>
        <v>2742473.3099999991</v>
      </c>
      <c r="F50" s="5">
        <v>1400000</v>
      </c>
      <c r="H50" s="5"/>
    </row>
    <row r="51" spans="1:8">
      <c r="A51" t="s">
        <v>383</v>
      </c>
      <c r="C51" s="16">
        <f>C36-C40</f>
        <v>5001</v>
      </c>
      <c r="E51">
        <v>5001</v>
      </c>
      <c r="F51">
        <v>3642</v>
      </c>
    </row>
    <row r="54" spans="1:8">
      <c r="A54" t="s">
        <v>228</v>
      </c>
      <c r="B54" s="5"/>
      <c r="C54" s="5">
        <f>C30</f>
        <v>12164247</v>
      </c>
      <c r="D54" s="5">
        <f>D30</f>
        <v>12164247</v>
      </c>
      <c r="E54" s="5">
        <f>E30</f>
        <v>12164247</v>
      </c>
      <c r="F54" s="5">
        <f>F30</f>
        <v>12164247</v>
      </c>
    </row>
    <row r="55" spans="1:8">
      <c r="A55" t="s">
        <v>229</v>
      </c>
      <c r="B55" s="5"/>
      <c r="C55" s="5">
        <f>C31+C44+C47</f>
        <v>6832293.5700000012</v>
      </c>
      <c r="D55" s="5">
        <f>D31+D44+D47</f>
        <v>6817741.8500000024</v>
      </c>
      <c r="E55" s="5">
        <f>E31+E44+E47</f>
        <v>6825404.7200000025</v>
      </c>
      <c r="F55" s="5">
        <f>F31+F44+F47</f>
        <v>6834439.910000002</v>
      </c>
    </row>
    <row r="56" spans="1:8">
      <c r="A56" t="s">
        <v>334</v>
      </c>
      <c r="D56" s="5">
        <f>D32</f>
        <v>2749362.1599999983</v>
      </c>
      <c r="E56" s="5">
        <f>E32-E50</f>
        <v>6888.8499999991618</v>
      </c>
      <c r="F56" s="5">
        <f>F32-F50</f>
        <v>1349362.1599999983</v>
      </c>
    </row>
    <row r="57" spans="1:8" ht="15" thickBot="1">
      <c r="A57" t="s">
        <v>335</v>
      </c>
      <c r="B57" s="8"/>
      <c r="C57" s="8">
        <f>C54-C55-C56</f>
        <v>5331953.4299999988</v>
      </c>
      <c r="D57" s="8">
        <f>D54-D55-D56</f>
        <v>2597142.9899999993</v>
      </c>
      <c r="E57" s="8">
        <f>E54-E55-E56</f>
        <v>5331953.4299999978</v>
      </c>
      <c r="F57" s="8">
        <f>F54-F55-F56</f>
        <v>3980444.9299999997</v>
      </c>
    </row>
    <row r="58" spans="1:8" ht="15.6" thickTop="1" thickBot="1">
      <c r="A58" t="s">
        <v>237</v>
      </c>
      <c r="B58" s="8"/>
      <c r="C58" s="8">
        <f>C34-C45-C48</f>
        <v>4912398.5200000005</v>
      </c>
      <c r="D58" s="8">
        <f>D34-D45-D48</f>
        <v>2205494.2100000014</v>
      </c>
      <c r="E58" s="8">
        <f>E34-E45-E48+E50</f>
        <v>4925086.3500000006</v>
      </c>
      <c r="F58" s="8">
        <f>F34-F45-F48+F50</f>
        <v>3579836.5400000014</v>
      </c>
    </row>
    <row r="59" spans="1:8" ht="15" thickTop="1"/>
    <row r="60" spans="1:8">
      <c r="A60" t="s">
        <v>231</v>
      </c>
      <c r="C60" s="16">
        <f>C36-C40-C41</f>
        <v>4803</v>
      </c>
      <c r="D60" s="16">
        <f>D36-D40-D41</f>
        <v>2424</v>
      </c>
      <c r="E60" s="16">
        <f>E51-E41</f>
        <v>4803</v>
      </c>
      <c r="F60" s="16">
        <f>F51-F41</f>
        <v>3444</v>
      </c>
    </row>
    <row r="62" spans="1:8">
      <c r="A62" t="s">
        <v>336</v>
      </c>
      <c r="C62" s="1">
        <f>ROUND((C57-C14)/C60*365,2)</f>
        <v>405197.3</v>
      </c>
      <c r="D62" s="1">
        <f>ROUND((D57-D14)/D60*365,2)</f>
        <v>391071.3</v>
      </c>
      <c r="E62" s="1">
        <f>ROUND((E57-E14)/E60*365,2)</f>
        <v>405197.3</v>
      </c>
      <c r="F62" s="1">
        <f>ROUND((F57-F14)/F60*365,2)</f>
        <v>421853.09</v>
      </c>
    </row>
    <row r="63" spans="1:8">
      <c r="A63" t="s">
        <v>348</v>
      </c>
      <c r="C63" s="1">
        <f>ROUND(C58/C60*365,2)</f>
        <v>373313.65</v>
      </c>
      <c r="D63" s="1">
        <f>ROUND(D58/D60*365,2)</f>
        <v>332097.93</v>
      </c>
      <c r="E63" s="1">
        <f>ROUND(E58/E60*365,2)</f>
        <v>374277.85</v>
      </c>
      <c r="F63" s="1">
        <f>ROUND(F58/F60*365,2)</f>
        <v>379396.15</v>
      </c>
    </row>
    <row r="64" spans="1:8">
      <c r="C64" s="1"/>
      <c r="D64" s="1"/>
      <c r="E64" s="1"/>
      <c r="F64" s="1"/>
    </row>
    <row r="65" spans="1:6">
      <c r="C65" s="1"/>
      <c r="D65" s="1"/>
      <c r="E65" s="1"/>
      <c r="F65" s="1"/>
    </row>
    <row r="66" spans="1:6">
      <c r="A66" t="s">
        <v>228</v>
      </c>
      <c r="B66" s="5"/>
      <c r="C66" s="5">
        <f>C30</f>
        <v>12164247</v>
      </c>
      <c r="D66" s="5">
        <f>D30</f>
        <v>12164247</v>
      </c>
      <c r="E66" s="5">
        <f>E30</f>
        <v>12164247</v>
      </c>
      <c r="F66" s="5">
        <f>F30</f>
        <v>12164247</v>
      </c>
    </row>
    <row r="67" spans="1:6">
      <c r="A67" t="s">
        <v>229</v>
      </c>
      <c r="B67" s="5"/>
      <c r="C67" s="5">
        <f>C55+C62</f>
        <v>7237490.870000001</v>
      </c>
      <c r="D67" s="5">
        <f>D55+D62</f>
        <v>7208813.1500000022</v>
      </c>
      <c r="E67" s="5">
        <f>E55+E62</f>
        <v>7230602.0200000023</v>
      </c>
      <c r="F67" s="5">
        <f>F55+F62</f>
        <v>7256293.0000000019</v>
      </c>
    </row>
    <row r="68" spans="1:6">
      <c r="A68" t="s">
        <v>334</v>
      </c>
      <c r="D68" s="5">
        <f>D56</f>
        <v>2749362.1599999983</v>
      </c>
      <c r="E68" s="5">
        <f>E56</f>
        <v>6888.8499999991618</v>
      </c>
      <c r="F68" s="5">
        <f>F56</f>
        <v>1349362.1599999983</v>
      </c>
    </row>
    <row r="69" spans="1:6" ht="15" thickBot="1">
      <c r="A69" t="s">
        <v>335</v>
      </c>
      <c r="B69" s="8"/>
      <c r="C69" s="8">
        <f>C66-C67-C68</f>
        <v>4926756.129999999</v>
      </c>
      <c r="D69" s="8">
        <f>D66-D67-D68</f>
        <v>2206071.6899999995</v>
      </c>
      <c r="E69" s="8">
        <f>E66-E67-E68</f>
        <v>4926756.129999999</v>
      </c>
      <c r="F69" s="8">
        <f>F66-F67-F68</f>
        <v>3558591.84</v>
      </c>
    </row>
    <row r="70" spans="1:6" ht="15.6" thickTop="1" thickBot="1">
      <c r="A70" t="s">
        <v>237</v>
      </c>
      <c r="B70" s="8"/>
      <c r="C70" s="8">
        <f>C58-C63</f>
        <v>4539084.87</v>
      </c>
      <c r="D70" s="8">
        <f>D58-D63</f>
        <v>1873396.2800000014</v>
      </c>
      <c r="E70" s="8">
        <f>E58-E63</f>
        <v>4550808.5000000009</v>
      </c>
      <c r="F70" s="8">
        <f>F58-F63</f>
        <v>3200440.3900000015</v>
      </c>
    </row>
    <row r="71" spans="1:6" ht="15" thickTop="1"/>
    <row r="72" spans="1:6">
      <c r="C72" s="16">
        <f>C60-365</f>
        <v>4438</v>
      </c>
      <c r="D72" s="16">
        <f>D60-365</f>
        <v>2059</v>
      </c>
      <c r="E72" s="16">
        <f>E60-365</f>
        <v>4438</v>
      </c>
      <c r="F72" s="16">
        <f>F60-365</f>
        <v>3079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ECE1-8DC1-4F34-8582-AD1F27D70B81}">
  <dimension ref="A3:C37"/>
  <sheetViews>
    <sheetView workbookViewId="0">
      <selection activeCell="B24" sqref="B24"/>
    </sheetView>
  </sheetViews>
  <sheetFormatPr defaultRowHeight="14.45"/>
  <cols>
    <col min="1" max="1" width="33.7109375" bestFit="1" customWidth="1"/>
    <col min="2" max="3" width="18.7109375" customWidth="1"/>
  </cols>
  <sheetData>
    <row r="3" spans="1:3">
      <c r="B3" s="10" t="s">
        <v>328</v>
      </c>
      <c r="C3" s="10" t="s">
        <v>395</v>
      </c>
    </row>
    <row r="5" spans="1:3">
      <c r="A5" t="s">
        <v>228</v>
      </c>
      <c r="B5" s="5">
        <v>3046098.51</v>
      </c>
      <c r="C5" s="5">
        <v>3046098.51</v>
      </c>
    </row>
    <row r="6" spans="1:3">
      <c r="A6" t="s">
        <v>230</v>
      </c>
      <c r="B6">
        <v>3650</v>
      </c>
      <c r="C6">
        <v>3650</v>
      </c>
    </row>
    <row r="7" spans="1:3">
      <c r="A7" t="s">
        <v>296</v>
      </c>
      <c r="B7" s="3">
        <v>45306</v>
      </c>
      <c r="C7" s="3">
        <v>45306</v>
      </c>
    </row>
    <row r="8" spans="1:3">
      <c r="A8" t="s">
        <v>331</v>
      </c>
      <c r="B8">
        <v>1</v>
      </c>
      <c r="C8">
        <v>1</v>
      </c>
    </row>
    <row r="9" spans="1:3">
      <c r="A9" t="s">
        <v>396</v>
      </c>
      <c r="B9" s="3">
        <v>45463</v>
      </c>
      <c r="C9" s="3">
        <v>45463</v>
      </c>
    </row>
    <row r="10" spans="1:3">
      <c r="B10" s="3">
        <v>45473</v>
      </c>
      <c r="C10" s="3">
        <v>45473</v>
      </c>
    </row>
    <row r="11" spans="1:3">
      <c r="A11" t="s">
        <v>358</v>
      </c>
      <c r="B11">
        <f>B9-B7+1</f>
        <v>158</v>
      </c>
      <c r="C11">
        <f>C9-C7+1</f>
        <v>158</v>
      </c>
    </row>
    <row r="12" spans="1:3">
      <c r="A12" t="s">
        <v>359</v>
      </c>
      <c r="B12">
        <f>B10-B7+1-B11</f>
        <v>10</v>
      </c>
      <c r="C12">
        <f>C10-C7+1-C11</f>
        <v>10</v>
      </c>
    </row>
    <row r="13" spans="1:3">
      <c r="A13" t="s">
        <v>333</v>
      </c>
      <c r="B13" s="1">
        <f>ROUND((B5-B8)/B6*B11,2)</f>
        <v>131858.47</v>
      </c>
      <c r="C13" s="1">
        <f>ROUND((C5-C8)/C6*C11,2)</f>
        <v>131858.47</v>
      </c>
    </row>
    <row r="14" spans="1:3">
      <c r="B14" s="1"/>
      <c r="C14" s="1"/>
    </row>
    <row r="15" spans="1:3">
      <c r="A15" t="s">
        <v>397</v>
      </c>
      <c r="B15" s="1"/>
      <c r="C15" s="1">
        <f>-C5</f>
        <v>-3046098.51</v>
      </c>
    </row>
    <row r="16" spans="1:3">
      <c r="A16" t="s">
        <v>398</v>
      </c>
      <c r="B16" s="1"/>
      <c r="C16" s="1">
        <f>-C13</f>
        <v>-131858.47</v>
      </c>
    </row>
    <row r="18" spans="1:3">
      <c r="A18" t="s">
        <v>361</v>
      </c>
      <c r="B18" s="1">
        <f>ROUND((B5-B8)/B6*B12,2)</f>
        <v>8345.4699999999993</v>
      </c>
      <c r="C18" s="1"/>
    </row>
    <row r="19" spans="1:3">
      <c r="B19" s="20"/>
      <c r="C19" s="20"/>
    </row>
    <row r="21" spans="1:3">
      <c r="A21" t="s">
        <v>228</v>
      </c>
      <c r="B21" s="5">
        <f>B5</f>
        <v>3046098.51</v>
      </c>
      <c r="C21" s="5">
        <f>+C5+C15</f>
        <v>0</v>
      </c>
    </row>
    <row r="22" spans="1:3">
      <c r="A22" t="s">
        <v>229</v>
      </c>
      <c r="B22" s="5">
        <f>B13+B18</f>
        <v>140203.94</v>
      </c>
      <c r="C22" s="5">
        <f>C13+C16</f>
        <v>0</v>
      </c>
    </row>
    <row r="23" spans="1:3">
      <c r="A23" t="s">
        <v>334</v>
      </c>
      <c r="C23" s="5"/>
    </row>
    <row r="24" spans="1:3" ht="15" thickBot="1">
      <c r="A24" t="s">
        <v>335</v>
      </c>
      <c r="B24" s="8">
        <f>B21-B22-B23</f>
        <v>2905894.57</v>
      </c>
      <c r="C24" s="8">
        <f>C21-C22-C23</f>
        <v>0</v>
      </c>
    </row>
    <row r="25" spans="1:3" ht="15" thickTop="1"/>
    <row r="26" spans="1:3">
      <c r="A26" t="s">
        <v>231</v>
      </c>
      <c r="B26">
        <f>B6-B11-B12</f>
        <v>3482</v>
      </c>
      <c r="C26" s="5"/>
    </row>
    <row r="28" spans="1:3">
      <c r="A28" t="s">
        <v>336</v>
      </c>
      <c r="B28" s="1">
        <f>ROUND((B24-B8)/B26*365,2)</f>
        <v>304609.75</v>
      </c>
      <c r="C28" s="1"/>
    </row>
    <row r="32" spans="1:3">
      <c r="A32" t="s">
        <v>228</v>
      </c>
      <c r="B32" s="5">
        <f>B5</f>
        <v>3046098.51</v>
      </c>
      <c r="C32" s="5"/>
    </row>
    <row r="33" spans="1:3">
      <c r="A33" t="s">
        <v>229</v>
      </c>
      <c r="B33" s="5">
        <f>B22+B28</f>
        <v>444813.69</v>
      </c>
      <c r="C33" s="5"/>
    </row>
    <row r="34" spans="1:3">
      <c r="A34" t="s">
        <v>334</v>
      </c>
      <c r="C34" s="5"/>
    </row>
    <row r="35" spans="1:3" ht="15" thickBot="1">
      <c r="A35" t="s">
        <v>335</v>
      </c>
      <c r="B35" s="8">
        <f>B32-B33-B34</f>
        <v>2601284.8199999998</v>
      </c>
      <c r="C35" s="8">
        <f>C32-C33-C34</f>
        <v>0</v>
      </c>
    </row>
    <row r="36" spans="1:3" ht="15" thickTop="1"/>
    <row r="37" spans="1:3">
      <c r="B37">
        <f>B26-365</f>
        <v>3117</v>
      </c>
      <c r="C3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EC1C-94BC-4A28-B1DE-9E733CBA6416}">
  <dimension ref="A3:E44"/>
  <sheetViews>
    <sheetView topLeftCell="A19" workbookViewId="0">
      <selection activeCell="E24" sqref="E24"/>
    </sheetView>
  </sheetViews>
  <sheetFormatPr defaultRowHeight="14.45"/>
  <cols>
    <col min="1" max="1" width="33.7109375" bestFit="1" customWidth="1"/>
    <col min="2" max="3" width="18.7109375" customWidth="1"/>
    <col min="5" max="5" width="18.7109375" customWidth="1"/>
  </cols>
  <sheetData>
    <row r="3" spans="1:5">
      <c r="B3" s="10" t="s">
        <v>328</v>
      </c>
      <c r="C3" s="10" t="s">
        <v>399</v>
      </c>
      <c r="E3" s="10" t="s">
        <v>395</v>
      </c>
    </row>
    <row r="5" spans="1:5">
      <c r="A5" t="s">
        <v>228</v>
      </c>
      <c r="B5" s="5">
        <v>3046098.51</v>
      </c>
      <c r="C5" s="5">
        <v>3046098.51</v>
      </c>
      <c r="E5" s="5">
        <v>3046098.51</v>
      </c>
    </row>
    <row r="6" spans="1:5">
      <c r="A6" t="s">
        <v>230</v>
      </c>
      <c r="B6">
        <v>3650</v>
      </c>
      <c r="C6">
        <v>3650</v>
      </c>
      <c r="E6">
        <v>3650</v>
      </c>
    </row>
    <row r="7" spans="1:5">
      <c r="A7" t="s">
        <v>296</v>
      </c>
      <c r="B7" s="3">
        <v>45306</v>
      </c>
      <c r="C7" s="3">
        <v>45306</v>
      </c>
      <c r="E7" s="3">
        <v>45306</v>
      </c>
    </row>
    <row r="8" spans="1:5">
      <c r="A8" t="s">
        <v>331</v>
      </c>
      <c r="B8">
        <v>1</v>
      </c>
      <c r="C8">
        <v>1</v>
      </c>
      <c r="E8">
        <v>1</v>
      </c>
    </row>
    <row r="9" spans="1:5">
      <c r="A9" t="s">
        <v>275</v>
      </c>
      <c r="B9" s="3">
        <v>45463</v>
      </c>
      <c r="C9" s="3">
        <v>45463</v>
      </c>
      <c r="E9" s="3">
        <v>45463</v>
      </c>
    </row>
    <row r="10" spans="1:5">
      <c r="B10" s="3">
        <v>45473</v>
      </c>
      <c r="C10" s="3">
        <v>45473</v>
      </c>
      <c r="E10" s="3">
        <v>45473</v>
      </c>
    </row>
    <row r="11" spans="1:5">
      <c r="A11" t="s">
        <v>358</v>
      </c>
      <c r="B11">
        <f>B9-B7+1</f>
        <v>158</v>
      </c>
      <c r="C11">
        <f>C9-C7+1</f>
        <v>158</v>
      </c>
      <c r="E11">
        <f>E9-E7+1</f>
        <v>158</v>
      </c>
    </row>
    <row r="12" spans="1:5">
      <c r="A12" t="s">
        <v>359</v>
      </c>
      <c r="B12">
        <f>B10-B7+1-B11</f>
        <v>10</v>
      </c>
      <c r="C12">
        <f>C10-C7+1-C11</f>
        <v>10</v>
      </c>
      <c r="E12">
        <f>E10-E7+1-E11</f>
        <v>10</v>
      </c>
    </row>
    <row r="13" spans="1:5">
      <c r="A13" t="s">
        <v>396</v>
      </c>
      <c r="B13" s="3"/>
      <c r="E13" s="3">
        <v>45468</v>
      </c>
    </row>
    <row r="14" spans="1:5">
      <c r="A14" t="s">
        <v>400</v>
      </c>
      <c r="E14">
        <f>E13-E9+1</f>
        <v>6</v>
      </c>
    </row>
    <row r="16" spans="1:5">
      <c r="A16" t="s">
        <v>333</v>
      </c>
      <c r="B16" s="1">
        <f>ROUND((B5-B8)/B6*B11,2)</f>
        <v>131858.47</v>
      </c>
      <c r="C16" s="1">
        <f>ROUND((C5-C8)/C6*C11,2)</f>
        <v>131858.47</v>
      </c>
      <c r="E16" s="1">
        <f>ROUND((E5-E8)/E6*E11,2)</f>
        <v>131858.47</v>
      </c>
    </row>
    <row r="17" spans="1:5">
      <c r="B17" s="1"/>
      <c r="C17" s="1"/>
      <c r="E17" s="1"/>
    </row>
    <row r="18" spans="1:5">
      <c r="A18" t="s">
        <v>360</v>
      </c>
      <c r="B18" s="1"/>
      <c r="C18" s="1">
        <f>C5-C16-1200000</f>
        <v>1714240.0399999996</v>
      </c>
      <c r="E18" s="1">
        <f>E5-E16-1200000</f>
        <v>1714240.0399999996</v>
      </c>
    </row>
    <row r="19" spans="1:5">
      <c r="A19" t="s">
        <v>277</v>
      </c>
      <c r="B19" s="1"/>
      <c r="C19" s="1">
        <v>730</v>
      </c>
      <c r="E19" s="1">
        <v>730</v>
      </c>
    </row>
    <row r="21" spans="1:5">
      <c r="A21" t="s">
        <v>401</v>
      </c>
      <c r="B21" s="1">
        <f>ROUND((B5-B8)/B6*B12,2)</f>
        <v>8345.4699999999993</v>
      </c>
      <c r="C21" s="1">
        <f>ROUND((C5-C16-C18-C8)/C19*C12,2)</f>
        <v>16438.34</v>
      </c>
      <c r="E21" s="1">
        <f>ROUND((E5-E16-E18-E8)/E19*E14,2)</f>
        <v>9863.01</v>
      </c>
    </row>
    <row r="22" spans="1:5">
      <c r="B22" s="1"/>
      <c r="C22" s="1"/>
      <c r="E22" s="1"/>
    </row>
    <row r="23" spans="1:5">
      <c r="A23" t="s">
        <v>402</v>
      </c>
      <c r="B23" s="1"/>
      <c r="C23" s="1"/>
      <c r="E23" s="1">
        <f>-E5</f>
        <v>-3046098.51</v>
      </c>
    </row>
    <row r="24" spans="1:5">
      <c r="A24" t="s">
        <v>403</v>
      </c>
      <c r="B24" s="1"/>
      <c r="C24" s="1"/>
      <c r="E24" s="1">
        <f>-E16-E21</f>
        <v>-141721.48000000001</v>
      </c>
    </row>
    <row r="25" spans="1:5">
      <c r="A25" t="s">
        <v>404</v>
      </c>
      <c r="B25" s="1"/>
      <c r="C25" s="1"/>
      <c r="E25" s="1">
        <f>-E18</f>
        <v>-1714240.0399999996</v>
      </c>
    </row>
    <row r="26" spans="1:5">
      <c r="B26" s="20"/>
      <c r="C26" s="20"/>
      <c r="E26" s="20"/>
    </row>
    <row r="28" spans="1:5">
      <c r="A28" t="s">
        <v>228</v>
      </c>
      <c r="B28" s="5">
        <f>B5</f>
        <v>3046098.51</v>
      </c>
      <c r="C28" s="5">
        <f>C5</f>
        <v>3046098.51</v>
      </c>
      <c r="E28" s="5">
        <f>E5+E23</f>
        <v>0</v>
      </c>
    </row>
    <row r="29" spans="1:5">
      <c r="A29" t="s">
        <v>229</v>
      </c>
      <c r="B29" s="5">
        <f>B16+B21</f>
        <v>140203.94</v>
      </c>
      <c r="C29" s="5">
        <f>C16+C21</f>
        <v>148296.81</v>
      </c>
      <c r="E29" s="5">
        <f>E16+E21+E24</f>
        <v>0</v>
      </c>
    </row>
    <row r="30" spans="1:5">
      <c r="A30" t="s">
        <v>334</v>
      </c>
      <c r="C30" s="5">
        <f>C18</f>
        <v>1714240.0399999996</v>
      </c>
      <c r="E30" s="5">
        <f>E18+E25</f>
        <v>0</v>
      </c>
    </row>
    <row r="31" spans="1:5" ht="15" thickBot="1">
      <c r="A31" t="s">
        <v>335</v>
      </c>
      <c r="B31" s="8">
        <f>B28-B29-B30</f>
        <v>2905894.57</v>
      </c>
      <c r="C31" s="8">
        <f>C28-C29-C30</f>
        <v>1183561.6600000001</v>
      </c>
      <c r="E31" s="8">
        <f>E28-E29-E30</f>
        <v>0</v>
      </c>
    </row>
    <row r="32" spans="1:5" ht="15" thickTop="1"/>
    <row r="33" spans="1:5">
      <c r="A33" t="s">
        <v>231</v>
      </c>
      <c r="B33">
        <f>B6-B11-B12</f>
        <v>3482</v>
      </c>
      <c r="C33" s="5">
        <f>C19-C12</f>
        <v>720</v>
      </c>
      <c r="E33" s="5"/>
    </row>
    <row r="35" spans="1:5">
      <c r="A35" t="s">
        <v>336</v>
      </c>
      <c r="B35" s="1">
        <f>ROUND((B31-B8)/B33*365,2)</f>
        <v>304609.75</v>
      </c>
      <c r="C35" s="1">
        <f>ROUND((C31-C8)/C33*365,2)</f>
        <v>599999.5</v>
      </c>
      <c r="E35" s="1"/>
    </row>
    <row r="39" spans="1:5">
      <c r="A39" t="s">
        <v>228</v>
      </c>
      <c r="B39" s="5">
        <f>B5</f>
        <v>3046098.51</v>
      </c>
      <c r="C39" s="5">
        <f>C5</f>
        <v>3046098.51</v>
      </c>
      <c r="E39" s="5"/>
    </row>
    <row r="40" spans="1:5">
      <c r="A40" t="s">
        <v>229</v>
      </c>
      <c r="B40" s="5">
        <f>B29+B35</f>
        <v>444813.69</v>
      </c>
      <c r="C40" s="5">
        <f>C29+C35</f>
        <v>748296.31</v>
      </c>
      <c r="E40" s="5"/>
    </row>
    <row r="41" spans="1:5">
      <c r="A41" t="s">
        <v>334</v>
      </c>
      <c r="C41" s="5">
        <f>C30</f>
        <v>1714240.0399999996</v>
      </c>
      <c r="E41" s="5"/>
    </row>
    <row r="42" spans="1:5" ht="15" thickBot="1">
      <c r="A42" t="s">
        <v>335</v>
      </c>
      <c r="B42" s="8">
        <f>B39-B40-B41</f>
        <v>2601284.8199999998</v>
      </c>
      <c r="C42" s="8">
        <f>C39-C40-C41</f>
        <v>583562.16000000015</v>
      </c>
      <c r="E42" s="8">
        <f>E39-E40-E41</f>
        <v>0</v>
      </c>
    </row>
    <row r="43" spans="1:5" ht="15" thickTop="1"/>
    <row r="44" spans="1:5">
      <c r="B44">
        <f>B33-365</f>
        <v>3117</v>
      </c>
      <c r="C44">
        <f>C33-365</f>
        <v>355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5D35-D94E-48AA-A2B6-66A6C9E9CE21}">
  <dimension ref="A2:H47"/>
  <sheetViews>
    <sheetView topLeftCell="A26" workbookViewId="0">
      <selection activeCell="D34" sqref="D34"/>
    </sheetView>
  </sheetViews>
  <sheetFormatPr defaultRowHeight="14.45"/>
  <cols>
    <col min="1" max="1" width="33.7109375" bestFit="1" customWidth="1"/>
    <col min="2" max="5" width="18.7109375" customWidth="1"/>
    <col min="7" max="7" width="12.28515625" bestFit="1" customWidth="1"/>
    <col min="8" max="8" width="13.140625" bestFit="1" customWidth="1"/>
  </cols>
  <sheetData>
    <row r="2" spans="1:8">
      <c r="E2">
        <v>6.1</v>
      </c>
    </row>
    <row r="3" spans="1:8" ht="28.9">
      <c r="B3" s="10" t="s">
        <v>337</v>
      </c>
      <c r="C3" s="9" t="s">
        <v>338</v>
      </c>
      <c r="D3" s="10" t="s">
        <v>328</v>
      </c>
      <c r="E3" s="9" t="s">
        <v>395</v>
      </c>
    </row>
    <row r="5" spans="1:8">
      <c r="A5" t="s">
        <v>228</v>
      </c>
      <c r="B5" s="5">
        <v>14067803.82</v>
      </c>
      <c r="C5" s="15">
        <v>12164247</v>
      </c>
      <c r="D5" s="5"/>
      <c r="E5" s="5"/>
    </row>
    <row r="6" spans="1:8">
      <c r="A6" t="s">
        <v>341</v>
      </c>
      <c r="B6" s="5">
        <v>9749246.0800000001</v>
      </c>
      <c r="C6" s="15">
        <v>6020788.8300000019</v>
      </c>
      <c r="D6" s="5"/>
      <c r="E6" s="5"/>
    </row>
    <row r="7" spans="1:8">
      <c r="A7" t="s">
        <v>342</v>
      </c>
      <c r="B7" s="5"/>
      <c r="C7" s="5"/>
      <c r="D7" s="5"/>
      <c r="E7" s="5"/>
    </row>
    <row r="8" spans="1:8">
      <c r="A8" s="5" t="s">
        <v>343</v>
      </c>
      <c r="B8" s="5">
        <v>3835148.17</v>
      </c>
      <c r="C8" s="15">
        <v>5660048.5999999996</v>
      </c>
      <c r="D8" s="5"/>
      <c r="E8" s="5"/>
      <c r="G8" s="15">
        <f>C8</f>
        <v>5660048.5999999996</v>
      </c>
      <c r="H8" s="15">
        <f>C8</f>
        <v>5660048.5999999996</v>
      </c>
    </row>
    <row r="9" spans="1:8">
      <c r="A9" t="s">
        <v>335</v>
      </c>
      <c r="B9" s="21">
        <f>B5-B6</f>
        <v>4318557.74</v>
      </c>
      <c r="C9" s="21">
        <f>C5-C6</f>
        <v>6143458.1699999981</v>
      </c>
      <c r="D9" s="21"/>
      <c r="E9" s="21"/>
    </row>
    <row r="10" spans="1:8">
      <c r="B10" s="5"/>
      <c r="C10" s="5"/>
      <c r="D10" s="5"/>
      <c r="E10" s="5"/>
    </row>
    <row r="11" spans="1:8">
      <c r="A11" t="s">
        <v>230</v>
      </c>
      <c r="C11" s="17">
        <v>10957.5</v>
      </c>
      <c r="D11" s="1"/>
      <c r="E11" s="1"/>
    </row>
    <row r="12" spans="1:8">
      <c r="A12" t="s">
        <v>231</v>
      </c>
      <c r="B12" s="3"/>
      <c r="C12" s="16">
        <v>5534</v>
      </c>
      <c r="D12" s="1"/>
      <c r="E12" s="1"/>
    </row>
    <row r="13" spans="1:8">
      <c r="A13" t="s">
        <v>331</v>
      </c>
      <c r="C13">
        <v>1</v>
      </c>
      <c r="D13" s="1"/>
      <c r="E13" s="1"/>
    </row>
    <row r="14" spans="1:8">
      <c r="A14" t="s">
        <v>344</v>
      </c>
      <c r="C14" s="3">
        <v>45108</v>
      </c>
      <c r="D14" s="1"/>
      <c r="E14" s="1"/>
    </row>
    <row r="15" spans="1:8">
      <c r="A15" t="s">
        <v>396</v>
      </c>
      <c r="B15" s="3"/>
      <c r="C15" s="3">
        <v>45463</v>
      </c>
      <c r="D15" s="1"/>
      <c r="E15" s="1"/>
    </row>
    <row r="16" spans="1:8">
      <c r="B16" s="3"/>
      <c r="C16" s="3">
        <v>45473</v>
      </c>
      <c r="D16" s="1"/>
      <c r="E16" s="1"/>
    </row>
    <row r="17" spans="1:8">
      <c r="A17" t="s">
        <v>358</v>
      </c>
      <c r="C17">
        <f>C15-C14+1</f>
        <v>356</v>
      </c>
      <c r="D17" s="1"/>
      <c r="E17" s="1"/>
    </row>
    <row r="18" spans="1:8">
      <c r="A18" t="s">
        <v>359</v>
      </c>
      <c r="C18">
        <f>C16-C14+1-C17</f>
        <v>10</v>
      </c>
      <c r="D18" s="1"/>
      <c r="E18" s="1"/>
    </row>
    <row r="19" spans="1:8">
      <c r="A19" t="s">
        <v>333</v>
      </c>
      <c r="B19" s="1"/>
      <c r="C19" s="1"/>
      <c r="D19" s="1">
        <f>ROUND((C9-C13)/C12*C17,2)</f>
        <v>395206.14</v>
      </c>
      <c r="E19" s="1">
        <f>ROUND((C9-C13)/C12*C17,2)</f>
        <v>395206.14</v>
      </c>
    </row>
    <row r="20" spans="1:8">
      <c r="A20" t="s">
        <v>364</v>
      </c>
      <c r="B20" s="1"/>
      <c r="C20" s="1"/>
      <c r="D20" s="1">
        <f>ROUND(C8/C12*C17,2)</f>
        <v>364108.66</v>
      </c>
      <c r="E20" s="1">
        <f>ROUND(C8/C12*C17,2)</f>
        <v>364108.66</v>
      </c>
      <c r="G20" s="5">
        <f>-D20</f>
        <v>-364108.66</v>
      </c>
      <c r="H20" s="5">
        <f>-E20</f>
        <v>-364108.66</v>
      </c>
    </row>
    <row r="21" spans="1:8">
      <c r="B21" s="1"/>
      <c r="C21" s="1"/>
      <c r="D21" s="1"/>
      <c r="E21" s="1"/>
    </row>
    <row r="22" spans="1:8">
      <c r="A22" t="s">
        <v>397</v>
      </c>
      <c r="B22" s="1"/>
      <c r="C22" s="1"/>
      <c r="E22" s="1">
        <f>-C5</f>
        <v>-12164247</v>
      </c>
    </row>
    <row r="23" spans="1:8">
      <c r="A23" t="s">
        <v>405</v>
      </c>
      <c r="B23" s="1"/>
      <c r="C23" s="1"/>
      <c r="E23" s="1">
        <f>-C6-E19</f>
        <v>-6415994.9700000016</v>
      </c>
    </row>
    <row r="24" spans="1:8">
      <c r="A24" t="s">
        <v>406</v>
      </c>
      <c r="B24" s="1"/>
      <c r="C24" s="1"/>
      <c r="E24" s="1">
        <f>-C8+E20</f>
        <v>-5295939.9399999995</v>
      </c>
      <c r="H24" s="5">
        <f>E24</f>
        <v>-5295939.9399999995</v>
      </c>
    </row>
    <row r="25" spans="1:8">
      <c r="D25" s="1"/>
      <c r="E25" s="1"/>
    </row>
    <row r="26" spans="1:8">
      <c r="A26" t="s">
        <v>361</v>
      </c>
      <c r="D26" s="1">
        <f>ROUND((C9-C13-D19)/C12*C18,2)</f>
        <v>10387.15</v>
      </c>
      <c r="E26" s="1"/>
    </row>
    <row r="27" spans="1:8">
      <c r="A27" t="s">
        <v>365</v>
      </c>
      <c r="B27" s="1"/>
      <c r="C27" s="1"/>
      <c r="D27" s="1">
        <f>ROUND(C8/C12*C18,2)</f>
        <v>10227.77</v>
      </c>
      <c r="E27" s="1"/>
      <c r="G27" s="5">
        <f>-D27</f>
        <v>-10227.77</v>
      </c>
      <c r="H27" s="5">
        <f>-E27</f>
        <v>0</v>
      </c>
    </row>
    <row r="28" spans="1:8">
      <c r="B28" s="20"/>
      <c r="C28" s="20"/>
      <c r="D28" s="20"/>
      <c r="E28" s="20"/>
    </row>
    <row r="30" spans="1:8">
      <c r="A30" t="s">
        <v>228</v>
      </c>
      <c r="B30" s="5"/>
      <c r="C30" s="5"/>
      <c r="D30" s="5">
        <f>C5</f>
        <v>12164247</v>
      </c>
      <c r="E30" s="5">
        <f>C5+E22</f>
        <v>0</v>
      </c>
    </row>
    <row r="31" spans="1:8">
      <c r="A31" t="s">
        <v>229</v>
      </c>
      <c r="B31" s="5"/>
      <c r="C31" s="5"/>
      <c r="D31" s="5">
        <f>C6+D19+D26</f>
        <v>6426382.120000002</v>
      </c>
      <c r="E31" s="5">
        <f>C6+E19+E23</f>
        <v>0</v>
      </c>
    </row>
    <row r="32" spans="1:8">
      <c r="A32" t="s">
        <v>334</v>
      </c>
      <c r="E32" s="5"/>
    </row>
    <row r="33" spans="1:8" ht="15" thickBot="1">
      <c r="A33" t="s">
        <v>335</v>
      </c>
      <c r="B33" s="8"/>
      <c r="C33" s="8"/>
      <c r="D33" s="8">
        <f>D30-D31-D32</f>
        <v>5737864.879999998</v>
      </c>
      <c r="E33" s="8">
        <f>E30-E31-E32</f>
        <v>0</v>
      </c>
    </row>
    <row r="34" spans="1:8" ht="15.6" thickTop="1" thickBot="1">
      <c r="A34" t="s">
        <v>237</v>
      </c>
      <c r="B34" s="8"/>
      <c r="C34" s="8"/>
      <c r="D34" s="8">
        <f>C8-D20-D27</f>
        <v>5285712.17</v>
      </c>
      <c r="E34" s="8">
        <f>C8-E20+E24</f>
        <v>0</v>
      </c>
    </row>
    <row r="35" spans="1:8" ht="15" thickTop="1"/>
    <row r="36" spans="1:8">
      <c r="A36" t="s">
        <v>231</v>
      </c>
      <c r="D36" s="16">
        <f>C12-C17-C18</f>
        <v>5168</v>
      </c>
      <c r="E36" s="16"/>
    </row>
    <row r="38" spans="1:8">
      <c r="A38" t="s">
        <v>336</v>
      </c>
      <c r="B38" s="1"/>
      <c r="C38" s="1"/>
      <c r="D38" s="1">
        <f>ROUND((D33-C13)/D36*365,2)</f>
        <v>405247.74</v>
      </c>
      <c r="E38" s="1"/>
    </row>
    <row r="39" spans="1:8">
      <c r="A39" t="s">
        <v>348</v>
      </c>
      <c r="D39" s="1">
        <f>ROUND(D34/D36*365,2)</f>
        <v>373313.65</v>
      </c>
      <c r="E39" s="1"/>
      <c r="G39" s="5">
        <f>-D39</f>
        <v>-373313.65</v>
      </c>
    </row>
    <row r="42" spans="1:8">
      <c r="A42" t="s">
        <v>228</v>
      </c>
      <c r="B42" s="5"/>
      <c r="C42" s="5"/>
      <c r="D42" s="5">
        <f>D30</f>
        <v>12164247</v>
      </c>
      <c r="E42" s="5"/>
    </row>
    <row r="43" spans="1:8">
      <c r="A43" t="s">
        <v>229</v>
      </c>
      <c r="B43" s="5"/>
      <c r="C43" s="5"/>
      <c r="D43" s="5">
        <f>D31+D38</f>
        <v>6831629.8600000022</v>
      </c>
      <c r="E43" s="5"/>
    </row>
    <row r="44" spans="1:8">
      <c r="A44" t="s">
        <v>334</v>
      </c>
      <c r="E44" s="5"/>
    </row>
    <row r="45" spans="1:8" ht="15" thickBot="1">
      <c r="A45" t="s">
        <v>335</v>
      </c>
      <c r="B45" s="8"/>
      <c r="C45" s="8"/>
      <c r="D45" s="8">
        <f>D42-D43-D44</f>
        <v>5332617.1399999978</v>
      </c>
      <c r="E45" s="8">
        <f>E42-E43-E44</f>
        <v>0</v>
      </c>
    </row>
    <row r="46" spans="1:8" ht="15.6" thickTop="1" thickBot="1">
      <c r="A46" t="s">
        <v>237</v>
      </c>
      <c r="B46" s="8"/>
      <c r="C46" s="8"/>
      <c r="D46" s="8">
        <f>D34-D39</f>
        <v>4912398.5199999996</v>
      </c>
      <c r="E46" s="8">
        <f>E34-E39</f>
        <v>0</v>
      </c>
      <c r="G46" s="15">
        <f>SUM(G8:G45)</f>
        <v>4912398.5199999996</v>
      </c>
      <c r="H46" s="15">
        <f>SUM(H8:H45)</f>
        <v>0</v>
      </c>
    </row>
    <row r="47" spans="1:8" ht="15" thickTop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F536-4EDF-4446-9F2A-BE96CC5F191D}">
  <dimension ref="A3:F53"/>
  <sheetViews>
    <sheetView topLeftCell="A12" workbookViewId="0">
      <selection activeCell="E53" sqref="E53"/>
    </sheetView>
  </sheetViews>
  <sheetFormatPr defaultRowHeight="14.45"/>
  <cols>
    <col min="1" max="1" width="33.7109375" bestFit="1" customWidth="1"/>
    <col min="2" max="6" width="18.7109375" customWidth="1"/>
  </cols>
  <sheetData>
    <row r="3" spans="1:6" ht="28.9">
      <c r="B3" s="10" t="s">
        <v>337</v>
      </c>
      <c r="C3" s="9" t="s">
        <v>338</v>
      </c>
      <c r="D3" s="10" t="s">
        <v>362</v>
      </c>
      <c r="E3" s="9" t="s">
        <v>363</v>
      </c>
      <c r="F3" s="9" t="s">
        <v>407</v>
      </c>
    </row>
    <row r="5" spans="1:6">
      <c r="A5" t="s">
        <v>228</v>
      </c>
      <c r="B5" s="5">
        <v>14067803.82</v>
      </c>
      <c r="C5" s="15">
        <v>12164247</v>
      </c>
      <c r="D5" s="5"/>
      <c r="E5" s="5"/>
      <c r="F5" s="5"/>
    </row>
    <row r="6" spans="1:6">
      <c r="A6" t="s">
        <v>341</v>
      </c>
      <c r="B6" s="5">
        <v>9749246.0800000001</v>
      </c>
      <c r="C6" s="15">
        <v>6020788.8300000019</v>
      </c>
      <c r="D6" s="5"/>
      <c r="E6" s="5"/>
      <c r="F6" s="5"/>
    </row>
    <row r="7" spans="1:6">
      <c r="A7" t="s">
        <v>342</v>
      </c>
      <c r="B7" s="5"/>
      <c r="C7" s="5"/>
      <c r="D7" s="5"/>
      <c r="E7" s="5"/>
      <c r="F7" s="5"/>
    </row>
    <row r="8" spans="1:6">
      <c r="A8" s="5" t="s">
        <v>343</v>
      </c>
      <c r="B8" s="5">
        <v>3835148.17</v>
      </c>
      <c r="C8" s="15">
        <v>5660048.5999999996</v>
      </c>
      <c r="D8" s="5"/>
      <c r="E8" s="5"/>
      <c r="F8" s="5"/>
    </row>
    <row r="9" spans="1:6">
      <c r="A9" t="s">
        <v>335</v>
      </c>
      <c r="B9" s="21">
        <f>B5-B6</f>
        <v>4318557.74</v>
      </c>
      <c r="C9" s="21">
        <f>C5-C6</f>
        <v>6143458.1699999981</v>
      </c>
      <c r="D9" s="21"/>
      <c r="E9" s="21"/>
      <c r="F9" s="21"/>
    </row>
    <row r="10" spans="1:6">
      <c r="B10" s="5"/>
      <c r="C10" s="5"/>
      <c r="D10" s="5"/>
      <c r="E10" s="5"/>
      <c r="F10" s="5"/>
    </row>
    <row r="11" spans="1:6">
      <c r="A11" t="s">
        <v>230</v>
      </c>
      <c r="C11" s="17">
        <v>10957.5</v>
      </c>
      <c r="D11" s="1"/>
      <c r="E11" s="1"/>
      <c r="F11" s="1"/>
    </row>
    <row r="12" spans="1:6">
      <c r="A12" t="s">
        <v>231</v>
      </c>
      <c r="B12" s="3"/>
      <c r="C12" s="16">
        <v>5534</v>
      </c>
      <c r="D12" s="1"/>
      <c r="E12" s="1"/>
      <c r="F12" s="1"/>
    </row>
    <row r="13" spans="1:6">
      <c r="A13" t="s">
        <v>277</v>
      </c>
      <c r="B13" s="3"/>
      <c r="C13" s="16">
        <v>2192</v>
      </c>
      <c r="D13" s="1"/>
      <c r="E13" s="1"/>
      <c r="F13" s="1"/>
    </row>
    <row r="14" spans="1:6">
      <c r="A14" t="s">
        <v>331</v>
      </c>
      <c r="C14">
        <v>1</v>
      </c>
      <c r="D14" s="1"/>
      <c r="E14" s="1"/>
      <c r="F14" s="1"/>
    </row>
    <row r="15" spans="1:6">
      <c r="A15" t="s">
        <v>344</v>
      </c>
      <c r="C15" s="3">
        <v>45108</v>
      </c>
      <c r="D15" s="1"/>
      <c r="E15" s="1"/>
      <c r="F15" s="1"/>
    </row>
    <row r="16" spans="1:6">
      <c r="A16" t="s">
        <v>275</v>
      </c>
      <c r="B16" s="3"/>
      <c r="C16" s="3">
        <v>45463</v>
      </c>
      <c r="D16" s="1"/>
      <c r="E16" s="1"/>
      <c r="F16" s="1"/>
    </row>
    <row r="17" spans="1:6">
      <c r="B17" s="3"/>
      <c r="C17" s="3">
        <v>45473</v>
      </c>
      <c r="D17" s="1"/>
      <c r="E17" s="1"/>
      <c r="F17" s="1"/>
    </row>
    <row r="18" spans="1:6">
      <c r="A18" t="s">
        <v>358</v>
      </c>
      <c r="C18">
        <f>C16-C15+1</f>
        <v>356</v>
      </c>
      <c r="D18" s="1"/>
      <c r="E18" s="1"/>
      <c r="F18" s="1"/>
    </row>
    <row r="19" spans="1:6">
      <c r="A19" t="s">
        <v>359</v>
      </c>
      <c r="C19">
        <f>C17-C15+1-C18</f>
        <v>10</v>
      </c>
      <c r="D19" s="1"/>
      <c r="E19" s="1"/>
      <c r="F19" s="1"/>
    </row>
    <row r="20" spans="1:6">
      <c r="A20" t="s">
        <v>396</v>
      </c>
      <c r="C20" s="3">
        <v>45468</v>
      </c>
      <c r="D20" s="1"/>
      <c r="E20" s="1"/>
      <c r="F20" s="1"/>
    </row>
    <row r="21" spans="1:6">
      <c r="A21" t="s">
        <v>400</v>
      </c>
      <c r="C21">
        <f>C20-C16+1</f>
        <v>6</v>
      </c>
      <c r="D21" s="1"/>
      <c r="E21" s="1"/>
      <c r="F21" s="1"/>
    </row>
    <row r="22" spans="1:6">
      <c r="A22" t="s">
        <v>333</v>
      </c>
      <c r="B22" s="1"/>
      <c r="C22" s="1"/>
      <c r="D22" s="1">
        <f>ROUND((C9-C14)/C12*C18,2)</f>
        <v>395206.14</v>
      </c>
      <c r="E22" s="1">
        <f>ROUND((C9-C14)/C12*C18,2)</f>
        <v>395206.14</v>
      </c>
      <c r="F22" s="1">
        <f>ROUND((C9-C14)/C12*C18,2)</f>
        <v>395206.14</v>
      </c>
    </row>
    <row r="23" spans="1:6">
      <c r="A23" t="s">
        <v>364</v>
      </c>
      <c r="B23" s="1"/>
      <c r="C23" s="1"/>
      <c r="D23" s="1">
        <f>ROUND(C8/C12*C18,2)</f>
        <v>364108.66</v>
      </c>
      <c r="E23" s="1">
        <f>ROUND(C8/C12*C18,2)</f>
        <v>364108.66</v>
      </c>
      <c r="F23" s="1">
        <f>ROUND(C8/C12*C18,2)</f>
        <v>364108.66</v>
      </c>
    </row>
    <row r="24" spans="1:6">
      <c r="B24" s="1"/>
      <c r="C24" s="1"/>
      <c r="D24" s="1"/>
      <c r="E24" s="1"/>
      <c r="F24" s="1"/>
    </row>
    <row r="25" spans="1:6">
      <c r="A25" t="s">
        <v>360</v>
      </c>
      <c r="B25" s="1"/>
      <c r="C25" s="1"/>
      <c r="E25" s="1">
        <f>-3000000+(C9-E22)</f>
        <v>2748252.0299999984</v>
      </c>
      <c r="F25" s="1">
        <f>-3000000+(C9-F22)</f>
        <v>2748252.0299999984</v>
      </c>
    </row>
    <row r="26" spans="1:6">
      <c r="D26" s="1"/>
      <c r="E26" s="1"/>
      <c r="F26" s="1"/>
    </row>
    <row r="27" spans="1:6">
      <c r="A27" t="s">
        <v>408</v>
      </c>
      <c r="D27" s="1">
        <f>ROUND((C9-C14-D22)/C12*C19,2)</f>
        <v>10387.15</v>
      </c>
      <c r="E27" s="1">
        <f>ROUND((C9-C14-E22-E25)/C13*C19,2)</f>
        <v>13686.13</v>
      </c>
      <c r="F27" s="1">
        <f>ROUND((C9-C14-F22-E25)/C13*C21,2)</f>
        <v>8211.68</v>
      </c>
    </row>
    <row r="28" spans="1:6">
      <c r="A28" t="s">
        <v>409</v>
      </c>
      <c r="B28" s="1"/>
      <c r="C28" s="1"/>
      <c r="D28" s="1">
        <f>ROUND(C8/C12*C19,2)</f>
        <v>10227.77</v>
      </c>
      <c r="E28" s="1">
        <f>ROUND((C8-E23-E25)/C13*C19,2)</f>
        <v>11622.66</v>
      </c>
      <c r="F28" s="1">
        <f>ROUND((C8-F23-E25)/C13*C21,2)</f>
        <v>6973.6</v>
      </c>
    </row>
    <row r="29" spans="1:6">
      <c r="B29" s="1"/>
      <c r="C29" s="1"/>
      <c r="D29" s="1"/>
      <c r="E29" s="1"/>
      <c r="F29" s="1"/>
    </row>
    <row r="30" spans="1:6">
      <c r="A30" t="s">
        <v>402</v>
      </c>
      <c r="B30" s="1"/>
      <c r="C30" s="1"/>
      <c r="D30" s="1"/>
      <c r="E30" s="1"/>
      <c r="F30" s="1">
        <f>-C5</f>
        <v>-12164247</v>
      </c>
    </row>
    <row r="31" spans="1:6">
      <c r="A31" t="s">
        <v>403</v>
      </c>
      <c r="B31" s="1"/>
      <c r="C31" s="1"/>
      <c r="D31" s="1"/>
      <c r="E31" s="1"/>
      <c r="F31" s="1">
        <f>-C6-F22-F27</f>
        <v>-6424206.6500000013</v>
      </c>
    </row>
    <row r="32" spans="1:6">
      <c r="A32" t="s">
        <v>404</v>
      </c>
      <c r="B32" s="1"/>
      <c r="C32" s="1"/>
      <c r="D32" s="1"/>
      <c r="E32" s="1"/>
      <c r="F32" s="1">
        <f>-F25</f>
        <v>-2748252.0299999984</v>
      </c>
    </row>
    <row r="33" spans="1:6">
      <c r="A33" t="s">
        <v>410</v>
      </c>
      <c r="B33" s="1"/>
      <c r="C33" s="1"/>
      <c r="D33" s="1"/>
      <c r="E33" s="1"/>
      <c r="F33" s="1">
        <f>-C8+F23+F28+F25</f>
        <v>-2540714.3100000015</v>
      </c>
    </row>
    <row r="34" spans="1:6">
      <c r="B34" s="20"/>
      <c r="C34" s="20"/>
      <c r="D34" s="20"/>
      <c r="E34" s="20"/>
      <c r="F34" s="20"/>
    </row>
    <row r="36" spans="1:6">
      <c r="A36" t="s">
        <v>228</v>
      </c>
      <c r="B36" s="5"/>
      <c r="C36" s="5"/>
      <c r="D36" s="5">
        <f>C5</f>
        <v>12164247</v>
      </c>
      <c r="E36" s="5">
        <f>C5</f>
        <v>12164247</v>
      </c>
      <c r="F36" s="5">
        <f>C5+F30</f>
        <v>0</v>
      </c>
    </row>
    <row r="37" spans="1:6">
      <c r="A37" t="s">
        <v>229</v>
      </c>
      <c r="B37" s="5"/>
      <c r="C37" s="5"/>
      <c r="D37" s="5">
        <f>C6+D22+D27</f>
        <v>6426382.120000002</v>
      </c>
      <c r="E37" s="5">
        <f>C6+E22+E27</f>
        <v>6429681.1000000015</v>
      </c>
      <c r="F37" s="5">
        <f>C6+F22+F27+F31</f>
        <v>0</v>
      </c>
    </row>
    <row r="38" spans="1:6">
      <c r="A38" t="s">
        <v>334</v>
      </c>
      <c r="E38" s="5">
        <f>E25</f>
        <v>2748252.0299999984</v>
      </c>
      <c r="F38" s="5">
        <f>F25+F32</f>
        <v>0</v>
      </c>
    </row>
    <row r="39" spans="1:6" ht="15" thickBot="1">
      <c r="A39" t="s">
        <v>335</v>
      </c>
      <c r="B39" s="8"/>
      <c r="C39" s="8"/>
      <c r="D39" s="8">
        <f>D36-D37-D38</f>
        <v>5737864.879999998</v>
      </c>
      <c r="E39" s="8">
        <f>E36-E37-E38</f>
        <v>2986313.87</v>
      </c>
      <c r="F39" s="8">
        <f>F36-F37-F38</f>
        <v>0</v>
      </c>
    </row>
    <row r="40" spans="1:6" ht="15.6" thickTop="1" thickBot="1">
      <c r="A40" t="s">
        <v>237</v>
      </c>
      <c r="B40" s="8"/>
      <c r="C40" s="8"/>
      <c r="D40" s="8">
        <f>C8-D23-D28</f>
        <v>5285712.17</v>
      </c>
      <c r="E40" s="8">
        <f>C8-E23-E25-E28</f>
        <v>2536065.2500000009</v>
      </c>
      <c r="F40" s="8">
        <f>C8-F23-F25-F28+F33</f>
        <v>0</v>
      </c>
    </row>
    <row r="41" spans="1:6" ht="15" thickTop="1"/>
    <row r="42" spans="1:6">
      <c r="A42" t="s">
        <v>231</v>
      </c>
      <c r="D42" s="16">
        <f>C12-C18-C19</f>
        <v>5168</v>
      </c>
      <c r="E42" s="16">
        <f>C13-C19</f>
        <v>2182</v>
      </c>
      <c r="F42" s="16">
        <v>0</v>
      </c>
    </row>
    <row r="44" spans="1:6">
      <c r="A44" t="s">
        <v>336</v>
      </c>
      <c r="B44" s="1"/>
      <c r="C44" s="1"/>
      <c r="D44" s="1">
        <f>ROUND((D39-C14)/D42*365,2)</f>
        <v>405247.74</v>
      </c>
      <c r="E44" s="1">
        <f>ROUND((E39-C14)/E42*365,2)</f>
        <v>499543.63</v>
      </c>
      <c r="F44" s="1"/>
    </row>
    <row r="45" spans="1:6">
      <c r="A45" t="s">
        <v>348</v>
      </c>
      <c r="D45" s="1">
        <f>ROUND(D40/D42*365,2)</f>
        <v>373313.65</v>
      </c>
      <c r="E45" s="1">
        <f>ROUND(E40/E42*365,2)</f>
        <v>424227.23</v>
      </c>
      <c r="F45" s="1"/>
    </row>
    <row r="48" spans="1:6">
      <c r="A48" t="s">
        <v>228</v>
      </c>
      <c r="B48" s="5"/>
      <c r="C48" s="5"/>
      <c r="D48" s="5">
        <f>D36</f>
        <v>12164247</v>
      </c>
      <c r="E48" s="5">
        <f>E36</f>
        <v>12164247</v>
      </c>
      <c r="F48" s="5"/>
    </row>
    <row r="49" spans="1:6">
      <c r="A49" t="s">
        <v>229</v>
      </c>
      <c r="B49" s="5"/>
      <c r="C49" s="5"/>
      <c r="D49" s="5">
        <f>D37+D44</f>
        <v>6831629.8600000022</v>
      </c>
      <c r="E49" s="5">
        <f>E37+E44</f>
        <v>6929224.7300000014</v>
      </c>
      <c r="F49" s="5"/>
    </row>
    <row r="50" spans="1:6">
      <c r="A50" t="s">
        <v>334</v>
      </c>
      <c r="E50" s="5">
        <f>E38</f>
        <v>2748252.0299999984</v>
      </c>
      <c r="F50" s="5"/>
    </row>
    <row r="51" spans="1:6" ht="15" thickBot="1">
      <c r="A51" t="s">
        <v>335</v>
      </c>
      <c r="B51" s="8"/>
      <c r="C51" s="8"/>
      <c r="D51" s="8">
        <f>D48-D49-D50</f>
        <v>5332617.1399999978</v>
      </c>
      <c r="E51" s="8">
        <f>E48-E49-E50</f>
        <v>2486770.2400000002</v>
      </c>
      <c r="F51" s="8">
        <f>F48-F49-F50</f>
        <v>0</v>
      </c>
    </row>
    <row r="52" spans="1:6" ht="15.6" thickTop="1" thickBot="1">
      <c r="A52" t="s">
        <v>237</v>
      </c>
      <c r="B52" s="8"/>
      <c r="C52" s="8"/>
      <c r="D52" s="8">
        <f>D40-D45</f>
        <v>4912398.5199999996</v>
      </c>
      <c r="E52" s="8">
        <f>E40-E45</f>
        <v>2111838.0200000009</v>
      </c>
      <c r="F52" s="8">
        <f>F40-F45</f>
        <v>0</v>
      </c>
    </row>
    <row r="53" spans="1:6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Bakker</dc:creator>
  <cp:keywords/>
  <dc:description/>
  <cp:lastModifiedBy>Pieter Marais</cp:lastModifiedBy>
  <cp:revision/>
  <dcterms:created xsi:type="dcterms:W3CDTF">2025-10-21T09:46:39Z</dcterms:created>
  <dcterms:modified xsi:type="dcterms:W3CDTF">2026-03-14T13:24:29Z</dcterms:modified>
  <cp:category/>
  <cp:contentStatus/>
</cp:coreProperties>
</file>